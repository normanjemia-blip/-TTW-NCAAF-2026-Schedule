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  <sheet name="FCS TIERS" sheetId="14" state="visible" r:id="rId14"/>
    <sheet name="IMPORT STATS" sheetId="15" state="visible" r:id="rId15"/>
    <sheet name="HISTORY" sheetId="16" state="visible" r:id="rId16"/>
    <sheet name="AUDI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G60">
        <f>IF(OR($D60="",$F60=""),"",$F60-$D60)</f>
        <v/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C64" t="inlineStr">
        <is>
          <t>TEST ONLY — NOT REAL DATA: Test Baseline QB</t>
        </is>
      </c>
      <c r="D64" t="n">
        <v>0</v>
      </c>
      <c r="E64" t="inlineStr">
        <is>
          <t>TEST ONLY — NOT REAL DATA: Test Active QB</t>
        </is>
      </c>
      <c r="F64" t="n">
        <v>0</v>
      </c>
      <c r="G64">
        <f>IF(OR($D64="",$F64=""),"",$F64-$D64)</f>
        <v/>
      </c>
      <c r="H64" t="inlineStr">
        <is>
          <t>M</t>
        </is>
      </c>
      <c r="I64" t="inlineStr">
        <is>
          <t>TEST ONLY — NOT REAL DATA</t>
        </is>
      </c>
      <c r="J64" t="n">
        <v>2026</v>
      </c>
      <c r="K64" s="2" t="n">
        <v>46266</v>
      </c>
      <c r="L64" t="inlineStr">
        <is>
          <t>TEST ONLY — NOT REAL DATA: temporarily resolved for DATA INCOMPLETE isolation</t>
        </is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C70" t="inlineStr">
        <is>
          <t>TEST ONLY — NOT REAL DATA: Test Baseline QB</t>
        </is>
      </c>
      <c r="D70" t="n">
        <v>0</v>
      </c>
      <c r="E70" t="inlineStr">
        <is>
          <t>TEST ONLY — NOT REAL DATA: Test Active QB</t>
        </is>
      </c>
      <c r="F70" t="n">
        <v>0</v>
      </c>
      <c r="G70">
        <f>IF(OR($D70="",$F70=""),"",$F70-$D70)</f>
        <v/>
      </c>
      <c r="H70" t="inlineStr">
        <is>
          <t>M</t>
        </is>
      </c>
      <c r="I70" t="inlineStr">
        <is>
          <t>TEST ONLY — NOT REAL DATA</t>
        </is>
      </c>
      <c r="J70" t="n">
        <v>2026</v>
      </c>
      <c r="K70" s="2" t="n">
        <v>46266</v>
      </c>
      <c r="L70" t="inlineStr">
        <is>
          <t>TEST ONLY — NOT REAL DATA: temporarily resolved for DATA INCOMPLETE isolation</t>
        </is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G97">
        <f>IF(OR($D97="",$F97=""),"",$F97-$D97)</f>
        <v/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G102">
        <f>IF(OR($D102="",$F102=""),"",$F102-$D102)</f>
        <v/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G122">
        <f>IF(OR($D122="",$F122=""),"",$F122-$D122)</f>
        <v/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D8" s="1" t="n">
        <v>46263</v>
      </c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L8" t="b">
        <v>0</v>
      </c>
      <c r="M8" t="inlineStr">
        <is>
          <t>Scott Stadium</t>
        </is>
      </c>
      <c r="N8" t="inlineStr">
        <is>
          <t>ESPN source: season_type=2 (regular-season), week=1. Normalized to project Week 0 (opening slate before the 2026-09-03 Week 1 kickoff).</t>
        </is>
      </c>
    </row>
    <row r="9">
      <c r="A9" t="inlineStr">
        <is>
          <t>401864494</t>
        </is>
      </c>
      <c r="B9" t="n">
        <v>2026</v>
      </c>
      <c r="C9" t="n">
        <v>0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L9" t="b">
        <v>0</v>
      </c>
      <c r="M9" t="inlineStr">
        <is>
          <t>Los Angeles Memorial Coliseum</t>
        </is>
      </c>
      <c r="N9" t="inlineStr">
        <is>
          <t>ESPN source: season_type=2 (regular-season), week=1. Normalized to project Week 0 (opening slate before the 2026-09-03 Week 1 kickoff).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C11" t="n">
        <v>0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L14" t="b">
        <v>0</v>
      </c>
      <c r="M14" t="inlineStr">
        <is>
          <t>Acrisure Bounce House</t>
        </is>
      </c>
    </row>
    <row r="15">
      <c r="A15" t="inlineStr">
        <is>
          <t>401858204</t>
        </is>
      </c>
      <c r="B15" t="n">
        <v>2026</v>
      </c>
      <c r="C15" t="n">
        <v>1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15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IF($A6="","",'IMPORT SCHEDULE'!C6)</f>
        <v/>
      </c>
      <c r="D6">
        <f>IF($A6="","",'IMPORT SCHEDULE'!D6)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IF($A8="","",'IMPORT SCHEDULE'!C8)</f>
        <v/>
      </c>
      <c r="D8">
        <f>IF($A8="","",'IMPORT SCHEDULE'!D8)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IF($A9="","",'IMPORT SCHEDULE'!C9)</f>
        <v/>
      </c>
      <c r="D9">
        <f>IF($A9="","",'IMPORT SCHEDULE'!D9)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IF($A10="","",'IMPORT SCHEDULE'!C10)</f>
        <v/>
      </c>
      <c r="D10">
        <f>IF($A10="","",'IMPORT SCHEDULE'!D10)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IF($A11="","",'IMPORT SCHEDULE'!C11)</f>
        <v/>
      </c>
      <c r="D11">
        <f>IF($A11="","",'IMPORT SCHEDULE'!D11)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IF($A14="","",'IMPORT SCHEDULE'!C14)</f>
        <v/>
      </c>
      <c r="D14">
        <f>IF($A14="","",'IMPORT SCHEDULE'!D14)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IF($A15="","",'IMPORT SCHEDULE'!C15)</f>
        <v/>
      </c>
      <c r="D15">
        <f>IF($A15="","",'IMPORT SCHEDULE'!D15)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15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6:R15"/>
  <sheetViews>
    <sheetView workbookViewId="0">
      <selection activeCell="A1" sqref="A1"/>
    </sheetView>
  </sheetViews>
  <sheetFormatPr baseColWidth="8" defaultRowHeight="15"/>
  <sheetData>
    <row r="6"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A8" t="inlineStr">
        <is>
          <t>401858202</t>
        </is>
      </c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C8" t="inlineStr">
        <is>
          <t>UVA</t>
        </is>
      </c>
      <c r="D8" t="n">
        <v>6.5</v>
      </c>
      <c r="E8" t="n">
        <v>51.5</v>
      </c>
      <c r="F8" t="inlineStr">
        <is>
          <t>TEST ONLY — NOT REAL DATA</t>
        </is>
      </c>
      <c r="G8" s="2" t="n">
        <v>46268</v>
      </c>
      <c r="H8" t="inlineStr">
        <is>
          <t>TEST ONLY — NOT REAL DATA</t>
        </is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J6:K15"/>
  <sheetViews>
    <sheetView workbookViewId="0">
      <selection activeCell="A1" sqref="A1"/>
    </sheetView>
  </sheetViews>
  <sheetFormatPr baseColWidth="8" defaultRowHeight="15"/>
  <sheetData>
    <row r="6">
      <c r="J6">
        <f>IF($A6="","",IF(AND($H6="Y",OR($G6="",SETTINGS!$B$5="",$G6&gt;=SETTINGS!$B$5),$K6=""),1,0))</f>
        <v/>
      </c>
      <c r="K6">
        <f>IF($A6="","",IF($D6="","REASON MISSING; ","")&amp;IF(NOT(ISNUMBER($C6)),"VALUE NOT NUMERIC; ","")&amp;IF(ISNUMBER($C6),IF(AND(ABS($C6)&gt;4,$A6&lt;&gt;"MARGIN OVERRIDE",$A6&lt;&gt;"TOTAL OVERRIDE"),"LARGE ADJ (&gt;4); ",""),""))</f>
        <v/>
      </c>
    </row>
    <row r="7">
      <c r="J7">
        <f>IF($A7="","",IF(AND($H7="Y",OR($G7="",SETTINGS!$B$5="",$G7&gt;=SETTINGS!$B$5),$K7=""),1,0))</f>
        <v/>
      </c>
      <c r="K7">
        <f>IF($A7="","",IF($D7="","REASON MISSING; ","")&amp;IF(NOT(ISNUMBER($C7)),"VALUE NOT NUMERIC; ","")&amp;IF(ISNUMBER($C7),IF(AND(ABS($C7)&gt;4,$A7&lt;&gt;"MARGIN OVERRIDE",$A7&lt;&gt;"TOTAL OVERRIDE"),"LARGE ADJ (&gt;4); ",""),""))</f>
        <v/>
      </c>
    </row>
    <row r="8">
      <c r="J8">
        <f>IF($A8="","",IF(AND($H8="Y",OR($G8="",SETTINGS!$B$5="",$G8&gt;=SETTINGS!$B$5),$K8=""),1,0))</f>
        <v/>
      </c>
      <c r="K8">
        <f>IF($A8="","",IF($D8="","REASON MISSING; ","")&amp;IF(NOT(ISNUMBER($C8)),"VALUE NOT NUMERIC; ","")&amp;IF(ISNUMBER($C8),IF(AND(ABS($C8)&gt;4,$A8&lt;&gt;"MARGIN OVERRIDE",$A8&lt;&gt;"TOTAL OVERRIDE"),"LARGE ADJ (&gt;4); ",""),""))</f>
        <v/>
      </c>
    </row>
    <row r="9">
      <c r="J9">
        <f>IF($A9="","",IF(AND($H9="Y",OR($G9="",SETTINGS!$B$5="",$G9&gt;=SETTINGS!$B$5),$K9=""),1,0))</f>
        <v/>
      </c>
      <c r="K9">
        <f>IF($A9="","",IF($D9="","REASON MISSING; ","")&amp;IF(NOT(ISNUMBER($C9)),"VALUE NOT NUMERIC; ","")&amp;IF(ISNUMBER($C9),IF(AND(ABS($C9)&gt;4,$A9&lt;&gt;"MARGIN OVERRIDE",$A9&lt;&gt;"TOTAL OVERRIDE"),"LARGE ADJ (&gt;4); ",""),""))</f>
        <v/>
      </c>
    </row>
    <row r="10">
      <c r="J10">
        <f>IF($A10="","",IF(AND($H10="Y",OR($G10="",SETTINGS!$B$5="",$G10&gt;=SETTINGS!$B$5),$K10=""),1,0))</f>
        <v/>
      </c>
      <c r="K10">
        <f>IF($A10="","",IF($D10="","REASON MISSING; ","")&amp;IF(NOT(ISNUMBER($C10)),"VALUE NOT NUMERIC; ","")&amp;IF(ISNUMBER($C10),IF(AND(ABS($C10)&gt;4,$A10&lt;&gt;"MARGIN OVERRIDE",$A10&lt;&gt;"TOTAL OVERRIDE"),"LARGE ADJ (&gt;4); ",""),""))</f>
        <v/>
      </c>
    </row>
    <row r="11">
      <c r="J11">
        <f>IF($A11="","",IF(AND($H11="Y",OR($G11="",SETTINGS!$B$5="",$G11&gt;=SETTINGS!$B$5),$K11=""),1,0))</f>
        <v/>
      </c>
      <c r="K11">
        <f>IF($A11="","",IF($D11="","REASON MISSING; ","")&amp;IF(NOT(ISNUMBER($C11)),"VALUE NOT NUMERIC; ","")&amp;IF(ISNUMBER($C11),IF(AND(ABS($C11)&gt;4,$A11&lt;&gt;"MARGIN OVERRIDE",$A11&lt;&gt;"TOTAL OVERRIDE"),"LARGE ADJ (&gt;4); ",""),""))</f>
        <v/>
      </c>
    </row>
    <row r="12">
      <c r="J12">
        <f>IF($A12="","",IF(AND($H12="Y",OR($G12="",SETTINGS!$B$5="",$G12&gt;=SETTINGS!$B$5),$K12=""),1,0))</f>
        <v/>
      </c>
      <c r="K12">
        <f>IF($A12="","",IF($D12="","REASON MISSING; ","")&amp;IF(NOT(ISNUMBER($C12)),"VALUE NOT NUMERIC; ","")&amp;IF(ISNUMBER($C12),IF(AND(ABS($C12)&gt;4,$A12&lt;&gt;"MARGIN OVERRIDE",$A12&lt;&gt;"TOTAL OVERRIDE"),"LARGE ADJ (&gt;4); ",""),""))</f>
        <v/>
      </c>
    </row>
    <row r="13">
      <c r="J13">
        <f>IF($A13="","",IF(AND($H13="Y",OR($G13="",SETTINGS!$B$5="",$G13&gt;=SETTINGS!$B$5),$K13=""),1,0))</f>
        <v/>
      </c>
      <c r="K13">
        <f>IF($A13="","",IF($D13="","REASON MISSING; ","")&amp;IF(NOT(ISNUMBER($C13)),"VALUE NOT NUMERIC; ","")&amp;IF(ISNUMBER($C13),IF(AND(ABS($C13)&gt;4,$A13&lt;&gt;"MARGIN OVERRIDE",$A13&lt;&gt;"TOTAL OVERRIDE"),"LARGE ADJ (&gt;4); ",""),""))</f>
        <v/>
      </c>
    </row>
    <row r="14">
      <c r="J14">
        <f>IF($A14="","",IF(AND($H14="Y",OR($G14="",SETTINGS!$B$5="",$G14&gt;=SETTINGS!$B$5),$K14=""),1,0))</f>
        <v/>
      </c>
      <c r="K14">
        <f>IF($A14="","",IF($D14="","REASON MISSING; ","")&amp;IF(NOT(ISNUMBER($C14)),"VALUE NOT NUMERIC; ","")&amp;IF(ISNUMBER($C14),IF(AND(ABS($C14)&gt;4,$A14&lt;&gt;"MARGIN OVERRIDE",$A14&lt;&gt;"TOTAL OVERRIDE"),"LARGE ADJ (&gt;4); ",""),""))</f>
        <v/>
      </c>
    </row>
    <row r="15">
      <c r="J15">
        <f>IF($A15="","",IF(AND($H15="Y",OR($G15="",SETTINGS!$B$5="",$G15&gt;=SETTINGS!$B$5),$K15=""),1,0))</f>
        <v/>
      </c>
      <c r="K15">
        <f>IF($A15="","",IF($D15="","REASON MISSING; ","")&amp;IF(NOT(ISNUMBER($C15)),"VALUE NOT NUMERIC; ","")&amp;IF(ISNUMBER($C15),IF(AND(ABS($C15)&gt;4,$A15&lt;&gt;"MARGIN OVERRIDE",$A15&lt;&gt;"TOTAL OVERRIDE"),"LARGE ADJ (&gt;4); ",""),""))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B4" t="n">
        <v>1</v>
      </c>
      <c r="C4" t="inlineStr">
        <is>
          <t>Set weekly (Step 1)</t>
        </is>
      </c>
    </row>
    <row r="5">
      <c r="A5" t="inlineStr">
        <is>
          <t>As-of date</t>
        </is>
      </c>
      <c r="B5" s="2" t="n">
        <v>46269</v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N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E1:E1"/>
  <sheetViews>
    <sheetView workbookViewId="0">
      <selection activeCell="A1" sqref="A1"/>
    </sheetView>
  </sheetViews>
  <sheetFormatPr baseColWidth="8" defaultRowHeight="15"/>
  <sheetData>
    <row r="1">
      <c r="E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2026-07-21T12:12:36Z</dcterms:created>
  <dcterms:modified xsi:type="dcterms:W3CDTF">2026-07-21T12:16:06Z</dcterms:modified>
</cp:coreProperties>
</file>