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SETTINGS" sheetId="3" state="visible" r:id="rId3"/>
    <sheet name="MARKET LINES" sheetId="4" state="visible" r:id="rId4"/>
    <sheet name="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MAP / ALIASES — do not edit without a CHANGELOG entry</t>
        </is>
      </c>
    </row>
    <row r="2">
      <c r="A2" t="inlineStr">
        <is>
          <t>Master list (A:F) · MANUAL alias table (H:I, used by MARKET LINES + ADJUSTMENTS; ambiguous shorthand excluded) · IMPORT alias table (K:L, used by CLEAN; CFBD canonical names resolve here) · FBS conference strings (N) · Blocked manual shorthand (Q)</t>
        </is>
      </c>
    </row>
    <row r="3"/>
    <row r="4"/>
    <row r="5">
      <c r="A5" t="inlineStr">
        <is>
          <t>Abbrev</t>
        </is>
      </c>
      <c r="H5" t="inlineStr">
        <is>
          <t>MANUAL alias</t>
        </is>
      </c>
      <c r="J5" t="inlineStr">
        <is>
          <t>Alias diagnostic (auto)</t>
        </is>
      </c>
      <c r="K5" t="inlineStr">
        <is>
          <t>IMPORT alias</t>
        </is>
      </c>
    </row>
    <row r="6">
      <c r="A6" t="inlineStr">
        <is>
          <t>ALA</t>
        </is>
      </c>
      <c r="H6" t="inlineStr">
        <is>
          <t>ALA</t>
        </is>
      </c>
      <c r="J6">
        <f>IF($H6="","",IF(SUMPRODUCT(--(LOWER(TRIM($H$6:$H$481))=LOWER(TRIM($H6))),--($I$6:$I$481&lt;&gt;$I6))&gt;0,"AMBIGUOUS — MAPS TO MULTIPLE TEAMS",IF(COUNTIF($H$6:$H$481,$H6)&gt;1,"DUPLICATE x"&amp;COUNTIF($H$6:$H$481,$H6)&amp;" -&gt; "&amp;$I6,"")))</f>
        <v/>
      </c>
      <c r="K6" t="inlineStr">
        <is>
          <t>Alabama</t>
        </is>
      </c>
    </row>
    <row r="7">
      <c r="A7" t="inlineStr">
        <is>
          <t>ARK</t>
        </is>
      </c>
      <c r="H7" t="inlineStr">
        <is>
          <t>Alabama</t>
        </is>
      </c>
      <c r="J7">
        <f>IF($H7="","",IF(SUMPRODUCT(--(LOWER(TRIM($H$6:$H$481))=LOWER(TRIM($H7))),--($I$6:$I$481&lt;&gt;$I7))&gt;0,"AMBIGUOUS — MAPS TO MULTIPLE TEAMS",IF(COUNTIF($H$6:$H$481,$H7)&gt;1,"DUPLICATE x"&amp;COUNTIF($H$6:$H$481,$H7)&amp;" -&gt; "&amp;$I7,"")))</f>
        <v/>
      </c>
      <c r="K7" t="inlineStr">
        <is>
          <t>ALA</t>
        </is>
      </c>
    </row>
    <row r="8">
      <c r="A8" t="inlineStr">
        <is>
          <t>AUB</t>
        </is>
      </c>
      <c r="H8" t="inlineStr">
        <is>
          <t>Bama</t>
        </is>
      </c>
      <c r="J8">
        <f>IF($H8="","",IF(SUMPRODUCT(--(LOWER(TRIM($H$6:$H$481))=LOWER(TRIM($H8))),--($I$6:$I$481&lt;&gt;$I8))&gt;0,"AMBIGUOUS — MAPS TO MULTIPLE TEAMS",IF(COUNTIF($H$6:$H$481,$H8)&gt;1,"DUPLICATE x"&amp;COUNTIF($H$6:$H$481,$H8)&amp;" -&gt; "&amp;$I8,"")))</f>
        <v/>
      </c>
      <c r="K8" t="inlineStr">
        <is>
          <t>Arkansas</t>
        </is>
      </c>
    </row>
    <row r="9">
      <c r="A9" t="inlineStr">
        <is>
          <t>FLA</t>
        </is>
      </c>
      <c r="H9" t="inlineStr">
        <is>
          <t>Crimson Tide</t>
        </is>
      </c>
      <c r="J9">
        <f>IF($H9="","",IF(SUMPRODUCT(--(LOWER(TRIM($H$6:$H$481))=LOWER(TRIM($H9))),--($I$6:$I$481&lt;&gt;$I9))&gt;0,"AMBIGUOUS — MAPS TO MULTIPLE TEAMS",IF(COUNTIF($H$6:$H$481,$H9)&gt;1,"DUPLICATE x"&amp;COUNTIF($H$6:$H$481,$H9)&amp;" -&gt; "&amp;$I9,"")))</f>
        <v/>
      </c>
      <c r="K9" t="inlineStr">
        <is>
          <t>ARK</t>
        </is>
      </c>
    </row>
    <row r="10">
      <c r="A10" t="inlineStr">
        <is>
          <t>UGA</t>
        </is>
      </c>
      <c r="H10" t="inlineStr">
        <is>
          <t>ARK</t>
        </is>
      </c>
      <c r="J10">
        <f>IF($H10="","",IF(SUMPRODUCT(--(LOWER(TRIM($H$6:$H$481))=LOWER(TRIM($H10))),--($I$6:$I$481&lt;&gt;$I10))&gt;0,"AMBIGUOUS — MAPS TO MULTIPLE TEAMS",IF(COUNTIF($H$6:$H$481,$H10)&gt;1,"DUPLICATE x"&amp;COUNTIF($H$6:$H$481,$H10)&amp;" -&gt; "&amp;$I10,"")))</f>
        <v/>
      </c>
      <c r="K10" t="inlineStr">
        <is>
          <t>Auburn</t>
        </is>
      </c>
    </row>
    <row r="11">
      <c r="A11" t="inlineStr">
        <is>
          <t>UK</t>
        </is>
      </c>
      <c r="H11" t="inlineStr">
        <is>
          <t>Arkansas</t>
        </is>
      </c>
      <c r="J11">
        <f>IF($H11="","",IF(SUMPRODUCT(--(LOWER(TRIM($H$6:$H$481))=LOWER(TRIM($H11))),--($I$6:$I$481&lt;&gt;$I11))&gt;0,"AMBIGUOUS — MAPS TO MULTIPLE TEAMS",IF(COUNTIF($H$6:$H$481,$H11)&gt;1,"DUPLICATE x"&amp;COUNTIF($H$6:$H$481,$H11)&amp;" -&gt; "&amp;$I11,"")))</f>
        <v/>
      </c>
      <c r="K11" t="inlineStr">
        <is>
          <t>AUB</t>
        </is>
      </c>
    </row>
    <row r="12">
      <c r="A12" t="inlineStr">
        <is>
          <t>LSU</t>
        </is>
      </c>
      <c r="H12" t="inlineStr">
        <is>
          <t>Razorbacks</t>
        </is>
      </c>
      <c r="J12">
        <f>IF($H12="","",IF(SUMPRODUCT(--(LOWER(TRIM($H$6:$H$481))=LOWER(TRIM($H12))),--($I$6:$I$481&lt;&gt;$I12))&gt;0,"AMBIGUOUS — MAPS TO MULTIPLE TEAMS",IF(COUNTIF($H$6:$H$481,$H12)&gt;1,"DUPLICATE x"&amp;COUNTIF($H$6:$H$481,$H12)&amp;" -&gt; "&amp;$I12,"")))</f>
        <v/>
      </c>
      <c r="K12" t="inlineStr">
        <is>
          <t>Florida</t>
        </is>
      </c>
    </row>
    <row r="13">
      <c r="A13" t="inlineStr">
        <is>
          <t>MSST</t>
        </is>
      </c>
      <c r="H13" t="inlineStr">
        <is>
          <t>AUB</t>
        </is>
      </c>
      <c r="J13">
        <f>IF($H13="","",IF(SUMPRODUCT(--(LOWER(TRIM($H$6:$H$481))=LOWER(TRIM($H13))),--($I$6:$I$481&lt;&gt;$I13))&gt;0,"AMBIGUOUS — MAPS TO MULTIPLE TEAMS",IF(COUNTIF($H$6:$H$481,$H13)&gt;1,"DUPLICATE x"&amp;COUNTIF($H$6:$H$481,$H13)&amp;" -&gt; "&amp;$I13,"")))</f>
        <v/>
      </c>
      <c r="K13" t="inlineStr">
        <is>
          <t>FLA</t>
        </is>
      </c>
    </row>
    <row r="14">
      <c r="A14" t="inlineStr">
        <is>
          <t>MIZ</t>
        </is>
      </c>
      <c r="H14" t="inlineStr">
        <is>
          <t>Auburn</t>
        </is>
      </c>
      <c r="J14">
        <f>IF($H14="","",IF(SUMPRODUCT(--(LOWER(TRIM($H$6:$H$481))=LOWER(TRIM($H14))),--($I$6:$I$481&lt;&gt;$I14))&gt;0,"AMBIGUOUS — MAPS TO MULTIPLE TEAMS",IF(COUNTIF($H$6:$H$481,$H14)&gt;1,"DUPLICATE x"&amp;COUNTIF($H$6:$H$481,$H14)&amp;" -&gt; "&amp;$I14,"")))</f>
        <v/>
      </c>
      <c r="K14" t="inlineStr">
        <is>
          <t>Georgia</t>
        </is>
      </c>
    </row>
    <row r="15">
      <c r="A15" t="inlineStr">
        <is>
          <t>OU</t>
        </is>
      </c>
      <c r="H15" t="inlineStr">
        <is>
          <t>Tigers-AUB</t>
        </is>
      </c>
      <c r="J15">
        <f>IF($H15="","",IF(SUMPRODUCT(--(LOWER(TRIM($H$6:$H$481))=LOWER(TRIM($H15))),--($I$6:$I$481&lt;&gt;$I15))&gt;0,"AMBIGUOUS — MAPS TO MULTIPLE TEAMS",IF(COUNTIF($H$6:$H$481,$H15)&gt;1,"DUPLICATE x"&amp;COUNTIF($H$6:$H$481,$H15)&amp;" -&gt; "&amp;$I15,"")))</f>
        <v/>
      </c>
      <c r="K15" t="inlineStr">
        <is>
          <t>UGA</t>
        </is>
      </c>
    </row>
    <row r="16">
      <c r="A16" t="inlineStr">
        <is>
          <t>MISS</t>
        </is>
      </c>
      <c r="H16" t="inlineStr">
        <is>
          <t>FLA</t>
        </is>
      </c>
      <c r="J16">
        <f>IF($H16="","",IF(SUMPRODUCT(--(LOWER(TRIM($H$6:$H$481))=LOWER(TRIM($H16))),--($I$6:$I$481&lt;&gt;$I16))&gt;0,"AMBIGUOUS — MAPS TO MULTIPLE TEAMS",IF(COUNTIF($H$6:$H$481,$H16)&gt;1,"DUPLICATE x"&amp;COUNTIF($H$6:$H$481,$H16)&amp;" -&gt; "&amp;$I16,"")))</f>
        <v/>
      </c>
      <c r="K16" t="inlineStr">
        <is>
          <t>Kentucky</t>
        </is>
      </c>
    </row>
    <row r="17">
      <c r="A17" t="inlineStr">
        <is>
          <t>SCAR</t>
        </is>
      </c>
      <c r="H17" t="inlineStr">
        <is>
          <t>Florida</t>
        </is>
      </c>
      <c r="J17">
        <f>IF($H17="","",IF(SUMPRODUCT(--(LOWER(TRIM($H$6:$H$481))=LOWER(TRIM($H17))),--($I$6:$I$481&lt;&gt;$I17))&gt;0,"AMBIGUOUS — MAPS TO MULTIPLE TEAMS",IF(COUNTIF($H$6:$H$481,$H17)&gt;1,"DUPLICATE x"&amp;COUNTIF($H$6:$H$481,$H17)&amp;" -&gt; "&amp;$I17,"")))</f>
        <v/>
      </c>
      <c r="K17" t="inlineStr">
        <is>
          <t>UK</t>
        </is>
      </c>
    </row>
    <row r="18">
      <c r="A18" t="inlineStr">
        <is>
          <t>TENN</t>
        </is>
      </c>
      <c r="H18" t="inlineStr">
        <is>
          <t>UF</t>
        </is>
      </c>
      <c r="J18">
        <f>IF($H18="","",IF(SUMPRODUCT(--(LOWER(TRIM($H$6:$H$481))=LOWER(TRIM($H18))),--($I$6:$I$481&lt;&gt;$I18))&gt;0,"AMBIGUOUS — MAPS TO MULTIPLE TEAMS",IF(COUNTIF($H$6:$H$481,$H18)&gt;1,"DUPLICATE x"&amp;COUNTIF($H$6:$H$481,$H18)&amp;" -&gt; "&amp;$I18,"")))</f>
        <v/>
      </c>
      <c r="K18" t="inlineStr">
        <is>
          <t>LSU</t>
        </is>
      </c>
    </row>
    <row r="19">
      <c r="A19" t="inlineStr">
        <is>
          <t>TEX</t>
        </is>
      </c>
      <c r="H19" t="inlineStr">
        <is>
          <t>Gators</t>
        </is>
      </c>
      <c r="J19">
        <f>IF($H19="","",IF(SUMPRODUCT(--(LOWER(TRIM($H$6:$H$481))=LOWER(TRIM($H19))),--($I$6:$I$481&lt;&gt;$I19))&gt;0,"AMBIGUOUS — MAPS TO MULTIPLE TEAMS",IF(COUNTIF($H$6:$H$481,$H19)&gt;1,"DUPLICATE x"&amp;COUNTIF($H$6:$H$481,$H19)&amp;" -&gt; "&amp;$I19,"")))</f>
        <v/>
      </c>
      <c r="K19" t="inlineStr">
        <is>
          <t>Mississippi State</t>
        </is>
      </c>
    </row>
    <row r="20">
      <c r="A20" t="inlineStr">
        <is>
          <t>TAMU</t>
        </is>
      </c>
      <c r="H20" t="inlineStr">
        <is>
          <t>UGA</t>
        </is>
      </c>
      <c r="J20">
        <f>IF($H20="","",IF(SUMPRODUCT(--(LOWER(TRIM($H$6:$H$481))=LOWER(TRIM($H20))),--($I$6:$I$481&lt;&gt;$I20))&gt;0,"AMBIGUOUS — MAPS TO MULTIPLE TEAMS",IF(COUNTIF($H$6:$H$481,$H20)&gt;1,"DUPLICATE x"&amp;COUNTIF($H$6:$H$481,$H20)&amp;" -&gt; "&amp;$I20,"")))</f>
        <v/>
      </c>
      <c r="K20" t="inlineStr">
        <is>
          <t>MSST</t>
        </is>
      </c>
    </row>
    <row r="21">
      <c r="A21" t="inlineStr">
        <is>
          <t>VAN</t>
        </is>
      </c>
      <c r="H21" t="inlineStr">
        <is>
          <t>Georgia</t>
        </is>
      </c>
      <c r="J21">
        <f>IF($H21="","",IF(SUMPRODUCT(--(LOWER(TRIM($H$6:$H$481))=LOWER(TRIM($H21))),--($I$6:$I$481&lt;&gt;$I21))&gt;0,"AMBIGUOUS — MAPS TO MULTIPLE TEAMS",IF(COUNTIF($H$6:$H$481,$H21)&gt;1,"DUPLICATE x"&amp;COUNTIF($H$6:$H$481,$H21)&amp;" -&gt; "&amp;$I21,"")))</f>
        <v/>
      </c>
      <c r="K21" t="inlineStr">
        <is>
          <t>Missouri</t>
        </is>
      </c>
    </row>
    <row r="22">
      <c r="A22" t="inlineStr">
        <is>
          <t>ILL</t>
        </is>
      </c>
      <c r="H22" t="inlineStr">
        <is>
          <t>Bulldogs-UGA</t>
        </is>
      </c>
      <c r="J22">
        <f>IF($H22="","",IF(SUMPRODUCT(--(LOWER(TRIM($H$6:$H$481))=LOWER(TRIM($H22))),--($I$6:$I$481&lt;&gt;$I22))&gt;0,"AMBIGUOUS — MAPS TO MULTIPLE TEAMS",IF(COUNTIF($H$6:$H$481,$H22)&gt;1,"DUPLICATE x"&amp;COUNTIF($H$6:$H$481,$H22)&amp;" -&gt; "&amp;$I22,"")))</f>
        <v/>
      </c>
      <c r="K22" t="inlineStr">
        <is>
          <t>MIZ</t>
        </is>
      </c>
    </row>
    <row r="23">
      <c r="A23" t="inlineStr">
        <is>
          <t>IND</t>
        </is>
      </c>
      <c r="H23" t="inlineStr">
        <is>
          <t>UK</t>
        </is>
      </c>
      <c r="J23">
        <f>IF($H23="","",IF(SUMPRODUCT(--(LOWER(TRIM($H$6:$H$481))=LOWER(TRIM($H23))),--($I$6:$I$481&lt;&gt;$I23))&gt;0,"AMBIGUOUS — MAPS TO MULTIPLE TEAMS",IF(COUNTIF($H$6:$H$481,$H23)&gt;1,"DUPLICATE x"&amp;COUNTIF($H$6:$H$481,$H23)&amp;" -&gt; "&amp;$I23,"")))</f>
        <v/>
      </c>
      <c r="K23" t="inlineStr">
        <is>
          <t>Oklahoma</t>
        </is>
      </c>
    </row>
    <row r="24">
      <c r="A24" t="inlineStr">
        <is>
          <t>IOWA</t>
        </is>
      </c>
      <c r="H24" t="inlineStr">
        <is>
          <t>Kentucky</t>
        </is>
      </c>
      <c r="J24">
        <f>IF($H24="","",IF(SUMPRODUCT(--(LOWER(TRIM($H$6:$H$481))=LOWER(TRIM($H24))),--($I$6:$I$481&lt;&gt;$I24))&gt;0,"AMBIGUOUS — MAPS TO MULTIPLE TEAMS",IF(COUNTIF($H$6:$H$481,$H24)&gt;1,"DUPLICATE x"&amp;COUNTIF($H$6:$H$481,$H24)&amp;" -&gt; "&amp;$I24,"")))</f>
        <v/>
      </c>
      <c r="K24" t="inlineStr">
        <is>
          <t>OU</t>
        </is>
      </c>
    </row>
    <row r="25">
      <c r="A25" t="inlineStr">
        <is>
          <t>MD</t>
        </is>
      </c>
      <c r="H25" t="inlineStr">
        <is>
          <t>Wildcats-UK</t>
        </is>
      </c>
      <c r="J25">
        <f>IF($H25="","",IF(SUMPRODUCT(--(LOWER(TRIM($H$6:$H$481))=LOWER(TRIM($H25))),--($I$6:$I$481&lt;&gt;$I25))&gt;0,"AMBIGUOUS — MAPS TO MULTIPLE TEAMS",IF(COUNTIF($H$6:$H$481,$H25)&gt;1,"DUPLICATE x"&amp;COUNTIF($H$6:$H$481,$H25)&amp;" -&gt; "&amp;$I25,"")))</f>
        <v/>
      </c>
      <c r="K25" t="inlineStr">
        <is>
          <t>Ole Miss</t>
        </is>
      </c>
    </row>
    <row r="26">
      <c r="A26" t="inlineStr">
        <is>
          <t>MICH</t>
        </is>
      </c>
      <c r="H26" t="inlineStr">
        <is>
          <t>LSU</t>
        </is>
      </c>
      <c r="J26">
        <f>IF($H26="","",IF(SUMPRODUCT(--(LOWER(TRIM($H$6:$H$481))=LOWER(TRIM($H26))),--($I$6:$I$481&lt;&gt;$I26))&gt;0,"AMBIGUOUS — MAPS TO MULTIPLE TEAMS",IF(COUNTIF($H$6:$H$481,$H26)&gt;1,"DUPLICATE x"&amp;COUNTIF($H$6:$H$481,$H26)&amp;" -&gt; "&amp;$I26,"")))</f>
        <v/>
      </c>
      <c r="K26" t="inlineStr">
        <is>
          <t>MISS</t>
        </is>
      </c>
    </row>
    <row r="27">
      <c r="A27" t="inlineStr">
        <is>
          <t>MSU</t>
        </is>
      </c>
      <c r="H27" t="inlineStr">
        <is>
          <t>Louisiana State</t>
        </is>
      </c>
      <c r="J27">
        <f>IF($H27="","",IF(SUMPRODUCT(--(LOWER(TRIM($H$6:$H$481))=LOWER(TRIM($H27))),--($I$6:$I$481&lt;&gt;$I27))&gt;0,"AMBIGUOUS — MAPS TO MULTIPLE TEAMS",IF(COUNTIF($H$6:$H$481,$H27)&gt;1,"DUPLICATE x"&amp;COUNTIF($H$6:$H$481,$H27)&amp;" -&gt; "&amp;$I27,"")))</f>
        <v/>
      </c>
      <c r="K27" t="inlineStr">
        <is>
          <t>South Carolina</t>
        </is>
      </c>
    </row>
    <row r="28">
      <c r="A28" t="inlineStr">
        <is>
          <t>MINN</t>
        </is>
      </c>
      <c r="H28" t="inlineStr">
        <is>
          <t>MSST</t>
        </is>
      </c>
      <c r="J28">
        <f>IF($H28="","",IF(SUMPRODUCT(--(LOWER(TRIM($H$6:$H$481))=LOWER(TRIM($H28))),--($I$6:$I$481&lt;&gt;$I28))&gt;0,"AMBIGUOUS — MAPS TO MULTIPLE TEAMS",IF(COUNTIF($H$6:$H$481,$H28)&gt;1,"DUPLICATE x"&amp;COUNTIF($H$6:$H$481,$H28)&amp;" -&gt; "&amp;$I28,"")))</f>
        <v/>
      </c>
      <c r="K28" t="inlineStr">
        <is>
          <t>SCAR</t>
        </is>
      </c>
    </row>
    <row r="29">
      <c r="A29" t="inlineStr">
        <is>
          <t>NEB</t>
        </is>
      </c>
      <c r="H29" t="inlineStr">
        <is>
          <t>Mississippi State</t>
        </is>
      </c>
      <c r="J29">
        <f>IF($H29="","",IF(SUMPRODUCT(--(LOWER(TRIM($H$6:$H$481))=LOWER(TRIM($H29))),--($I$6:$I$481&lt;&gt;$I29))&gt;0,"AMBIGUOUS — MAPS TO MULTIPLE TEAMS",IF(COUNTIF($H$6:$H$481,$H29)&gt;1,"DUPLICATE x"&amp;COUNTIF($H$6:$H$481,$H29)&amp;" -&gt; "&amp;$I29,"")))</f>
        <v/>
      </c>
      <c r="K29" t="inlineStr">
        <is>
          <t>Tennessee</t>
        </is>
      </c>
    </row>
    <row r="30">
      <c r="A30" t="inlineStr">
        <is>
          <t>NW</t>
        </is>
      </c>
      <c r="H30" t="inlineStr">
        <is>
          <t>Miss State</t>
        </is>
      </c>
      <c r="J30">
        <f>IF($H30="","",IF(SUMPRODUCT(--(LOWER(TRIM($H$6:$H$481))=LOWER(TRIM($H30))),--($I$6:$I$481&lt;&gt;$I30))&gt;0,"AMBIGUOUS — MAPS TO MULTIPLE TEAMS",IF(COUNTIF($H$6:$H$481,$H30)&gt;1,"DUPLICATE x"&amp;COUNTIF($H$6:$H$481,$H30)&amp;" -&gt; "&amp;$I30,"")))</f>
        <v/>
      </c>
      <c r="K30" t="inlineStr">
        <is>
          <t>TENN</t>
        </is>
      </c>
    </row>
    <row r="31">
      <c r="A31" t="inlineStr">
        <is>
          <t>OHST</t>
        </is>
      </c>
      <c r="H31" t="inlineStr">
        <is>
          <t>Miss St</t>
        </is>
      </c>
      <c r="J31">
        <f>IF($H31="","",IF(SUMPRODUCT(--(LOWER(TRIM($H$6:$H$481))=LOWER(TRIM($H31))),--($I$6:$I$481&lt;&gt;$I31))&gt;0,"AMBIGUOUS — MAPS TO MULTIPLE TEAMS",IF(COUNTIF($H$6:$H$481,$H31)&gt;1,"DUPLICATE x"&amp;COUNTIF($H$6:$H$481,$H31)&amp;" -&gt; "&amp;$I31,"")))</f>
        <v/>
      </c>
      <c r="K31" t="inlineStr">
        <is>
          <t>Texas</t>
        </is>
      </c>
    </row>
    <row r="32">
      <c r="A32" t="inlineStr">
        <is>
          <t>ORE</t>
        </is>
      </c>
      <c r="H32" t="inlineStr">
        <is>
          <t>MIZ</t>
        </is>
      </c>
      <c r="J32">
        <f>IF($H32="","",IF(SUMPRODUCT(--(LOWER(TRIM($H$6:$H$481))=LOWER(TRIM($H32))),--($I$6:$I$481&lt;&gt;$I32))&gt;0,"AMBIGUOUS — MAPS TO MULTIPLE TEAMS",IF(COUNTIF($H$6:$H$481,$H32)&gt;1,"DUPLICATE x"&amp;COUNTIF($H$6:$H$481,$H32)&amp;" -&gt; "&amp;$I32,"")))</f>
        <v/>
      </c>
      <c r="K32" t="inlineStr">
        <is>
          <t>TEX</t>
        </is>
      </c>
    </row>
    <row r="33">
      <c r="A33" t="inlineStr">
        <is>
          <t>PSU</t>
        </is>
      </c>
      <c r="H33" t="inlineStr">
        <is>
          <t>Missouri</t>
        </is>
      </c>
      <c r="J33">
        <f>IF($H33="","",IF(SUMPRODUCT(--(LOWER(TRIM($H$6:$H$481))=LOWER(TRIM($H33))),--($I$6:$I$481&lt;&gt;$I33))&gt;0,"AMBIGUOUS — MAPS TO MULTIPLE TEAMS",IF(COUNTIF($H$6:$H$481,$H33)&gt;1,"DUPLICATE x"&amp;COUNTIF($H$6:$H$481,$H33)&amp;" -&gt; "&amp;$I33,"")))</f>
        <v/>
      </c>
      <c r="K33" t="inlineStr">
        <is>
          <t>Texas A&amp;M</t>
        </is>
      </c>
    </row>
    <row r="34">
      <c r="A34" t="inlineStr">
        <is>
          <t>PUR</t>
        </is>
      </c>
      <c r="H34" t="inlineStr">
        <is>
          <t>Mizzou</t>
        </is>
      </c>
      <c r="J34">
        <f>IF($H34="","",IF(SUMPRODUCT(--(LOWER(TRIM($H$6:$H$481))=LOWER(TRIM($H34))),--($I$6:$I$481&lt;&gt;$I34))&gt;0,"AMBIGUOUS — MAPS TO MULTIPLE TEAMS",IF(COUNTIF($H$6:$H$481,$H34)&gt;1,"DUPLICATE x"&amp;COUNTIF($H$6:$H$481,$H34)&amp;" -&gt; "&amp;$I34,"")))</f>
        <v/>
      </c>
      <c r="K34" t="inlineStr">
        <is>
          <t>TAMU</t>
        </is>
      </c>
    </row>
    <row r="35">
      <c r="A35" t="inlineStr">
        <is>
          <t>RUTG</t>
        </is>
      </c>
      <c r="H35" t="inlineStr">
        <is>
          <t>MU</t>
        </is>
      </c>
      <c r="J35">
        <f>IF($H35="","",IF(SUMPRODUCT(--(LOWER(TRIM($H$6:$H$481))=LOWER(TRIM($H35))),--($I$6:$I$481&lt;&gt;$I35))&gt;0,"AMBIGUOUS — MAPS TO MULTIPLE TEAMS",IF(COUNTIF($H$6:$H$481,$H35)&gt;1,"DUPLICATE x"&amp;COUNTIF($H$6:$H$481,$H35)&amp;" -&gt; "&amp;$I35,"")))</f>
        <v/>
      </c>
      <c r="K35" t="inlineStr">
        <is>
          <t>Vanderbilt</t>
        </is>
      </c>
    </row>
    <row r="36">
      <c r="A36" t="inlineStr">
        <is>
          <t>UCLA</t>
        </is>
      </c>
      <c r="H36" t="inlineStr">
        <is>
          <t>OU</t>
        </is>
      </c>
      <c r="J36">
        <f>IF($H36="","",IF(SUMPRODUCT(--(LOWER(TRIM($H$6:$H$481))=LOWER(TRIM($H36))),--($I$6:$I$481&lt;&gt;$I36))&gt;0,"AMBIGUOUS — MAPS TO MULTIPLE TEAMS",IF(COUNTIF($H$6:$H$481,$H36)&gt;1,"DUPLICATE x"&amp;COUNTIF($H$6:$H$481,$H36)&amp;" -&gt; "&amp;$I36,"")))</f>
        <v/>
      </c>
      <c r="K36" t="inlineStr">
        <is>
          <t>VAN</t>
        </is>
      </c>
    </row>
    <row r="37">
      <c r="A37" t="inlineStr">
        <is>
          <t>USC</t>
        </is>
      </c>
      <c r="H37" t="inlineStr">
        <is>
          <t>Oklahoma</t>
        </is>
      </c>
      <c r="J37">
        <f>IF($H37="","",IF(SUMPRODUCT(--(LOWER(TRIM($H$6:$H$481))=LOWER(TRIM($H37))),--($I$6:$I$481&lt;&gt;$I37))&gt;0,"AMBIGUOUS — MAPS TO MULTIPLE TEAMS",IF(COUNTIF($H$6:$H$481,$H37)&gt;1,"DUPLICATE x"&amp;COUNTIF($H$6:$H$481,$H37)&amp;" -&gt; "&amp;$I37,"")))</f>
        <v/>
      </c>
      <c r="K37" t="inlineStr">
        <is>
          <t>Illinois</t>
        </is>
      </c>
    </row>
    <row r="38">
      <c r="A38" t="inlineStr">
        <is>
          <t>WASH</t>
        </is>
      </c>
      <c r="H38" t="inlineStr">
        <is>
          <t>OKLA</t>
        </is>
      </c>
      <c r="J38">
        <f>IF($H38="","",IF(SUMPRODUCT(--(LOWER(TRIM($H$6:$H$481))=LOWER(TRIM($H38))),--($I$6:$I$481&lt;&gt;$I38))&gt;0,"AMBIGUOUS — MAPS TO MULTIPLE TEAMS",IF(COUNTIF($H$6:$H$481,$H38)&gt;1,"DUPLICATE x"&amp;COUNTIF($H$6:$H$481,$H38)&amp;" -&gt; "&amp;$I38,"")))</f>
        <v/>
      </c>
      <c r="K38" t="inlineStr">
        <is>
          <t>ILL</t>
        </is>
      </c>
    </row>
    <row r="39">
      <c r="A39" t="inlineStr">
        <is>
          <t>WISC</t>
        </is>
      </c>
      <c r="H39" t="inlineStr">
        <is>
          <t>Sooners</t>
        </is>
      </c>
      <c r="J39">
        <f>IF($H39="","",IF(SUMPRODUCT(--(LOWER(TRIM($H$6:$H$481))=LOWER(TRIM($H39))),--($I$6:$I$481&lt;&gt;$I39))&gt;0,"AMBIGUOUS — MAPS TO MULTIPLE TEAMS",IF(COUNTIF($H$6:$H$481,$H39)&gt;1,"DUPLICATE x"&amp;COUNTIF($H$6:$H$481,$H39)&amp;" -&gt; "&amp;$I39,"")))</f>
        <v/>
      </c>
      <c r="K39" t="inlineStr">
        <is>
          <t>Indiana</t>
        </is>
      </c>
    </row>
    <row r="40">
      <c r="A40" t="inlineStr">
        <is>
          <t>ARIZ</t>
        </is>
      </c>
      <c r="H40" t="inlineStr">
        <is>
          <t>MISS</t>
        </is>
      </c>
      <c r="J40">
        <f>IF($H40="","",IF(SUMPRODUCT(--(LOWER(TRIM($H$6:$H$481))=LOWER(TRIM($H40))),--($I$6:$I$481&lt;&gt;$I40))&gt;0,"AMBIGUOUS — MAPS TO MULTIPLE TEAMS",IF(COUNTIF($H$6:$H$481,$H40)&gt;1,"DUPLICATE x"&amp;COUNTIF($H$6:$H$481,$H40)&amp;" -&gt; "&amp;$I40,"")))</f>
        <v/>
      </c>
      <c r="K40" t="inlineStr">
        <is>
          <t>IND</t>
        </is>
      </c>
    </row>
    <row r="41">
      <c r="A41" t="inlineStr">
        <is>
          <t>AZST</t>
        </is>
      </c>
      <c r="H41" t="inlineStr">
        <is>
          <t>Ole Miss</t>
        </is>
      </c>
      <c r="J41">
        <f>IF($H41="","",IF(SUMPRODUCT(--(LOWER(TRIM($H$6:$H$481))=LOWER(TRIM($H41))),--($I$6:$I$481&lt;&gt;$I41))&gt;0,"AMBIGUOUS — MAPS TO MULTIPLE TEAMS",IF(COUNTIF($H$6:$H$481,$H41)&gt;1,"DUPLICATE x"&amp;COUNTIF($H$6:$H$481,$H41)&amp;" -&gt; "&amp;$I41,"")))</f>
        <v/>
      </c>
      <c r="K41" t="inlineStr">
        <is>
          <t>Iowa</t>
        </is>
      </c>
    </row>
    <row r="42">
      <c r="A42" t="inlineStr">
        <is>
          <t>BAY</t>
        </is>
      </c>
      <c r="H42" t="inlineStr">
        <is>
          <t>Mississippi</t>
        </is>
      </c>
      <c r="J42">
        <f>IF($H42="","",IF(SUMPRODUCT(--(LOWER(TRIM($H$6:$H$481))=LOWER(TRIM($H42))),--($I$6:$I$481&lt;&gt;$I42))&gt;0,"AMBIGUOUS — MAPS TO MULTIPLE TEAMS",IF(COUNTIF($H$6:$H$481,$H42)&gt;1,"DUPLICATE x"&amp;COUNTIF($H$6:$H$481,$H42)&amp;" -&gt; "&amp;$I42,"")))</f>
        <v/>
      </c>
      <c r="K42" t="inlineStr">
        <is>
          <t>Maryland</t>
        </is>
      </c>
    </row>
    <row r="43">
      <c r="A43" t="inlineStr">
        <is>
          <t>BYU</t>
        </is>
      </c>
      <c r="H43" t="inlineStr">
        <is>
          <t>OM</t>
        </is>
      </c>
      <c r="J43">
        <f>IF($H43="","",IF(SUMPRODUCT(--(LOWER(TRIM($H$6:$H$481))=LOWER(TRIM($H43))),--($I$6:$I$481&lt;&gt;$I43))&gt;0,"AMBIGUOUS — MAPS TO MULTIPLE TEAMS",IF(COUNTIF($H$6:$H$481,$H43)&gt;1,"DUPLICATE x"&amp;COUNTIF($H$6:$H$481,$H43)&amp;" -&gt; "&amp;$I43,"")))</f>
        <v/>
      </c>
      <c r="K43" t="inlineStr">
        <is>
          <t>MD</t>
        </is>
      </c>
    </row>
    <row r="44">
      <c r="A44" t="inlineStr">
        <is>
          <t>CIN</t>
        </is>
      </c>
      <c r="H44" t="inlineStr">
        <is>
          <t>SCAR</t>
        </is>
      </c>
      <c r="J44">
        <f>IF($H44="","",IF(SUMPRODUCT(--(LOWER(TRIM($H$6:$H$481))=LOWER(TRIM($H44))),--($I$6:$I$481&lt;&gt;$I44))&gt;0,"AMBIGUOUS — MAPS TO MULTIPLE TEAMS",IF(COUNTIF($H$6:$H$481,$H44)&gt;1,"DUPLICATE x"&amp;COUNTIF($H$6:$H$481,$H44)&amp;" -&gt; "&amp;$I44,"")))</f>
        <v/>
      </c>
      <c r="K44" t="inlineStr">
        <is>
          <t>Michigan</t>
        </is>
      </c>
    </row>
    <row r="45">
      <c r="A45" t="inlineStr">
        <is>
          <t>COLO</t>
        </is>
      </c>
      <c r="H45" t="inlineStr">
        <is>
          <t>South Carolina</t>
        </is>
      </c>
      <c r="J45">
        <f>IF($H45="","",IF(SUMPRODUCT(--(LOWER(TRIM($H$6:$H$481))=LOWER(TRIM($H45))),--($I$6:$I$481&lt;&gt;$I45))&gt;0,"AMBIGUOUS — MAPS TO MULTIPLE TEAMS",IF(COUNTIF($H$6:$H$481,$H45)&gt;1,"DUPLICATE x"&amp;COUNTIF($H$6:$H$481,$H45)&amp;" -&gt; "&amp;$I45,"")))</f>
        <v/>
      </c>
      <c r="K45" t="inlineStr">
        <is>
          <t>MICH</t>
        </is>
      </c>
    </row>
    <row r="46">
      <c r="A46" t="inlineStr">
        <is>
          <t>HOU</t>
        </is>
      </c>
      <c r="H46" t="inlineStr">
        <is>
          <t>Gamecocks</t>
        </is>
      </c>
      <c r="J46">
        <f>IF($H46="","",IF(SUMPRODUCT(--(LOWER(TRIM($H$6:$H$481))=LOWER(TRIM($H46))),--($I$6:$I$481&lt;&gt;$I46))&gt;0,"AMBIGUOUS — MAPS TO MULTIPLE TEAMS",IF(COUNTIF($H$6:$H$481,$H46)&gt;1,"DUPLICATE x"&amp;COUNTIF($H$6:$H$481,$H46)&amp;" -&gt; "&amp;$I46,"")))</f>
        <v/>
      </c>
      <c r="K46" t="inlineStr">
        <is>
          <t>Michigan State</t>
        </is>
      </c>
    </row>
    <row r="47">
      <c r="A47" t="inlineStr">
        <is>
          <t>ISU</t>
        </is>
      </c>
      <c r="H47" t="inlineStr">
        <is>
          <t>TENN</t>
        </is>
      </c>
      <c r="J47">
        <f>IF($H47="","",IF(SUMPRODUCT(--(LOWER(TRIM($H$6:$H$481))=LOWER(TRIM($H47))),--($I$6:$I$481&lt;&gt;$I47))&gt;0,"AMBIGUOUS — MAPS TO MULTIPLE TEAMS",IF(COUNTIF($H$6:$H$481,$H47)&gt;1,"DUPLICATE x"&amp;COUNTIF($H$6:$H$481,$H47)&amp;" -&gt; "&amp;$I47,"")))</f>
        <v/>
      </c>
      <c r="K47" t="inlineStr">
        <is>
          <t>MSU</t>
        </is>
      </c>
    </row>
    <row r="48">
      <c r="A48" t="inlineStr">
        <is>
          <t>KAN</t>
        </is>
      </c>
      <c r="H48" t="inlineStr">
        <is>
          <t>Tennessee</t>
        </is>
      </c>
      <c r="J48">
        <f>IF($H48="","",IF(SUMPRODUCT(--(LOWER(TRIM($H$6:$H$481))=LOWER(TRIM($H48))),--($I$6:$I$481&lt;&gt;$I48))&gt;0,"AMBIGUOUS — MAPS TO MULTIPLE TEAMS",IF(COUNTIF($H$6:$H$481,$H48)&gt;1,"DUPLICATE x"&amp;COUNTIF($H$6:$H$481,$H48)&amp;" -&gt; "&amp;$I48,"")))</f>
        <v/>
      </c>
      <c r="K48" t="inlineStr">
        <is>
          <t>Minnesota</t>
        </is>
      </c>
    </row>
    <row r="49">
      <c r="A49" t="inlineStr">
        <is>
          <t>KSU</t>
        </is>
      </c>
      <c r="H49" t="inlineStr">
        <is>
          <t>Vols</t>
        </is>
      </c>
      <c r="J49">
        <f>IF($H49="","",IF(SUMPRODUCT(--(LOWER(TRIM($H$6:$H$481))=LOWER(TRIM($H49))),--($I$6:$I$481&lt;&gt;$I49))&gt;0,"AMBIGUOUS — MAPS TO MULTIPLE TEAMS",IF(COUNTIF($H$6:$H$481,$H49)&gt;1,"DUPLICATE x"&amp;COUNTIF($H$6:$H$481,$H49)&amp;" -&gt; "&amp;$I49,"")))</f>
        <v/>
      </c>
      <c r="K49" t="inlineStr">
        <is>
          <t>MINN</t>
        </is>
      </c>
    </row>
    <row r="50">
      <c r="A50" t="inlineStr">
        <is>
          <t>OKST</t>
        </is>
      </c>
      <c r="H50" t="inlineStr">
        <is>
          <t>TEX</t>
        </is>
      </c>
      <c r="J50">
        <f>IF($H50="","",IF(SUMPRODUCT(--(LOWER(TRIM($H$6:$H$481))=LOWER(TRIM($H50))),--($I$6:$I$481&lt;&gt;$I50))&gt;0,"AMBIGUOUS — MAPS TO MULTIPLE TEAMS",IF(COUNTIF($H$6:$H$481,$H50)&gt;1,"DUPLICATE x"&amp;COUNTIF($H$6:$H$481,$H50)&amp;" -&gt; "&amp;$I50,"")))</f>
        <v/>
      </c>
      <c r="K50" t="inlineStr">
        <is>
          <t>Nebraska</t>
        </is>
      </c>
    </row>
    <row r="51">
      <c r="A51" t="inlineStr">
        <is>
          <t>TCU</t>
        </is>
      </c>
      <c r="H51" t="inlineStr">
        <is>
          <t>Texas</t>
        </is>
      </c>
      <c r="J51">
        <f>IF($H51="","",IF(SUMPRODUCT(--(LOWER(TRIM($H$6:$H$481))=LOWER(TRIM($H51))),--($I$6:$I$481&lt;&gt;$I51))&gt;0,"AMBIGUOUS — MAPS TO MULTIPLE TEAMS",IF(COUNTIF($H$6:$H$481,$H51)&gt;1,"DUPLICATE x"&amp;COUNTIF($H$6:$H$481,$H51)&amp;" -&gt; "&amp;$I51,"")))</f>
        <v/>
      </c>
      <c r="K51" t="inlineStr">
        <is>
          <t>NEB</t>
        </is>
      </c>
    </row>
    <row r="52">
      <c r="A52" t="inlineStr">
        <is>
          <t>TTU</t>
        </is>
      </c>
      <c r="H52" t="inlineStr">
        <is>
          <t>Longhorns</t>
        </is>
      </c>
      <c r="J52">
        <f>IF($H52="","",IF(SUMPRODUCT(--(LOWER(TRIM($H$6:$H$481))=LOWER(TRIM($H52))),--($I$6:$I$481&lt;&gt;$I52))&gt;0,"AMBIGUOUS — MAPS TO MULTIPLE TEAMS",IF(COUNTIF($H$6:$H$481,$H52)&gt;1,"DUPLICATE x"&amp;COUNTIF($H$6:$H$481,$H52)&amp;" -&gt; "&amp;$I52,"")))</f>
        <v/>
      </c>
      <c r="K52" t="inlineStr">
        <is>
          <t>Northwestern</t>
        </is>
      </c>
    </row>
    <row r="53">
      <c r="A53" t="inlineStr">
        <is>
          <t>UCF</t>
        </is>
      </c>
      <c r="H53" t="inlineStr">
        <is>
          <t>TAMU</t>
        </is>
      </c>
      <c r="J53">
        <f>IF($H53="","",IF(SUMPRODUCT(--(LOWER(TRIM($H$6:$H$481))=LOWER(TRIM($H53))),--($I$6:$I$481&lt;&gt;$I53))&gt;0,"AMBIGUOUS — MAPS TO MULTIPLE TEAMS",IF(COUNTIF($H$6:$H$481,$H53)&gt;1,"DUPLICATE x"&amp;COUNTIF($H$6:$H$481,$H53)&amp;" -&gt; "&amp;$I53,"")))</f>
        <v/>
      </c>
      <c r="K53" t="inlineStr">
        <is>
          <t>NW</t>
        </is>
      </c>
    </row>
    <row r="54">
      <c r="A54" t="inlineStr">
        <is>
          <t>UTAH</t>
        </is>
      </c>
      <c r="H54" t="inlineStr">
        <is>
          <t>Texas A&amp;M</t>
        </is>
      </c>
      <c r="J54">
        <f>IF($H54="","",IF(SUMPRODUCT(--(LOWER(TRIM($H$6:$H$481))=LOWER(TRIM($H54))),--($I$6:$I$481&lt;&gt;$I54))&gt;0,"AMBIGUOUS — MAPS TO MULTIPLE TEAMS",IF(COUNTIF($H$6:$H$481,$H54)&gt;1,"DUPLICATE x"&amp;COUNTIF($H$6:$H$481,$H54)&amp;" -&gt; "&amp;$I54,"")))</f>
        <v/>
      </c>
      <c r="K54" t="inlineStr">
        <is>
          <t>Ohio State</t>
        </is>
      </c>
    </row>
    <row r="55">
      <c r="A55" t="inlineStr">
        <is>
          <t>WVU</t>
        </is>
      </c>
      <c r="H55" t="inlineStr">
        <is>
          <t>A&amp;M</t>
        </is>
      </c>
      <c r="J55">
        <f>IF($H55="","",IF(SUMPRODUCT(--(LOWER(TRIM($H$6:$H$481))=LOWER(TRIM($H55))),--($I$6:$I$481&lt;&gt;$I55))&gt;0,"AMBIGUOUS — MAPS TO MULTIPLE TEAMS",IF(COUNTIF($H$6:$H$481,$H55)&gt;1,"DUPLICATE x"&amp;COUNTIF($H$6:$H$481,$H55)&amp;" -&gt; "&amp;$I55,"")))</f>
        <v/>
      </c>
      <c r="K55" t="inlineStr">
        <is>
          <t>OHST</t>
        </is>
      </c>
    </row>
    <row r="56">
      <c r="A56" t="inlineStr">
        <is>
          <t>BC</t>
        </is>
      </c>
      <c r="H56" t="inlineStr">
        <is>
          <t>Texas AM</t>
        </is>
      </c>
      <c r="J56">
        <f>IF($H56="","",IF(SUMPRODUCT(--(LOWER(TRIM($H$6:$H$481))=LOWER(TRIM($H56))),--($I$6:$I$481&lt;&gt;$I56))&gt;0,"AMBIGUOUS — MAPS TO MULTIPLE TEAMS",IF(COUNTIF($H$6:$H$481,$H56)&gt;1,"DUPLICATE x"&amp;COUNTIF($H$6:$H$481,$H56)&amp;" -&gt; "&amp;$I56,"")))</f>
        <v/>
      </c>
      <c r="K56" t="inlineStr">
        <is>
          <t>Oregon</t>
        </is>
      </c>
    </row>
    <row r="57">
      <c r="A57" t="inlineStr">
        <is>
          <t>CAL</t>
        </is>
      </c>
      <c r="H57" t="inlineStr">
        <is>
          <t>VAN</t>
        </is>
      </c>
      <c r="J57">
        <f>IF($H57="","",IF(SUMPRODUCT(--(LOWER(TRIM($H$6:$H$481))=LOWER(TRIM($H57))),--($I$6:$I$481&lt;&gt;$I57))&gt;0,"AMBIGUOUS — MAPS TO MULTIPLE TEAMS",IF(COUNTIF($H$6:$H$481,$H57)&gt;1,"DUPLICATE x"&amp;COUNTIF($H$6:$H$481,$H57)&amp;" -&gt; "&amp;$I57,"")))</f>
        <v/>
      </c>
      <c r="K57" t="inlineStr">
        <is>
          <t>ORE</t>
        </is>
      </c>
    </row>
    <row r="58">
      <c r="A58" t="inlineStr">
        <is>
          <t>CLEM</t>
        </is>
      </c>
      <c r="H58" t="inlineStr">
        <is>
          <t>Vanderbilt</t>
        </is>
      </c>
      <c r="J58">
        <f>IF($H58="","",IF(SUMPRODUCT(--(LOWER(TRIM($H$6:$H$481))=LOWER(TRIM($H58))),--($I$6:$I$481&lt;&gt;$I58))&gt;0,"AMBIGUOUS — MAPS TO MULTIPLE TEAMS",IF(COUNTIF($H$6:$H$481,$H58)&gt;1,"DUPLICATE x"&amp;COUNTIF($H$6:$H$481,$H58)&amp;" -&gt; "&amp;$I58,"")))</f>
        <v/>
      </c>
      <c r="K58" t="inlineStr">
        <is>
          <t>Penn State</t>
        </is>
      </c>
    </row>
    <row r="59">
      <c r="A59" t="inlineStr">
        <is>
          <t>DUKE</t>
        </is>
      </c>
      <c r="H59" t="inlineStr">
        <is>
          <t>Vandy</t>
        </is>
      </c>
      <c r="J59">
        <f>IF($H59="","",IF(SUMPRODUCT(--(LOWER(TRIM($H$6:$H$481))=LOWER(TRIM($H59))),--($I$6:$I$481&lt;&gt;$I59))&gt;0,"AMBIGUOUS — MAPS TO MULTIPLE TEAMS",IF(COUNTIF($H$6:$H$481,$H59)&gt;1,"DUPLICATE x"&amp;COUNTIF($H$6:$H$481,$H59)&amp;" -&gt; "&amp;$I59,"")))</f>
        <v/>
      </c>
      <c r="K59" t="inlineStr">
        <is>
          <t>PSU</t>
        </is>
      </c>
    </row>
    <row r="60">
      <c r="A60" t="inlineStr">
        <is>
          <t>FSU</t>
        </is>
      </c>
      <c r="H60" t="inlineStr">
        <is>
          <t>ILL</t>
        </is>
      </c>
      <c r="J60">
        <f>IF($H60="","",IF(SUMPRODUCT(--(LOWER(TRIM($H$6:$H$481))=LOWER(TRIM($H60))),--($I$6:$I$481&lt;&gt;$I60))&gt;0,"AMBIGUOUS — MAPS TO MULTIPLE TEAMS",IF(COUNTIF($H$6:$H$481,$H60)&gt;1,"DUPLICATE x"&amp;COUNTIF($H$6:$H$481,$H60)&amp;" -&gt; "&amp;$I60,"")))</f>
        <v/>
      </c>
      <c r="K60" t="inlineStr">
        <is>
          <t>Purdue</t>
        </is>
      </c>
    </row>
    <row r="61">
      <c r="A61" t="inlineStr">
        <is>
          <t>GT</t>
        </is>
      </c>
      <c r="H61" t="inlineStr">
        <is>
          <t>Illinois</t>
        </is>
      </c>
      <c r="J61">
        <f>IF($H61="","",IF(SUMPRODUCT(--(LOWER(TRIM($H$6:$H$481))=LOWER(TRIM($H61))),--($I$6:$I$481&lt;&gt;$I61))&gt;0,"AMBIGUOUS — MAPS TO MULTIPLE TEAMS",IF(COUNTIF($H$6:$H$481,$H61)&gt;1,"DUPLICATE x"&amp;COUNTIF($H$6:$H$481,$H61)&amp;" -&gt; "&amp;$I61,"")))</f>
        <v/>
      </c>
      <c r="K61" t="inlineStr">
        <is>
          <t>PUR</t>
        </is>
      </c>
    </row>
    <row r="62">
      <c r="A62" t="inlineStr">
        <is>
          <t>LOU</t>
        </is>
      </c>
      <c r="H62" t="inlineStr">
        <is>
          <t>Illini</t>
        </is>
      </c>
      <c r="J62">
        <f>IF($H62="","",IF(SUMPRODUCT(--(LOWER(TRIM($H$6:$H$481))=LOWER(TRIM($H62))),--($I$6:$I$481&lt;&gt;$I62))&gt;0,"AMBIGUOUS — MAPS TO MULTIPLE TEAMS",IF(COUNTIF($H$6:$H$481,$H62)&gt;1,"DUPLICATE x"&amp;COUNTIF($H$6:$H$481,$H62)&amp;" -&gt; "&amp;$I62,"")))</f>
        <v/>
      </c>
      <c r="K62" t="inlineStr">
        <is>
          <t>Rutgers</t>
        </is>
      </c>
    </row>
    <row r="63">
      <c r="A63" t="inlineStr">
        <is>
          <t>MIA</t>
        </is>
      </c>
      <c r="H63" t="inlineStr">
        <is>
          <t>IND</t>
        </is>
      </c>
      <c r="J63">
        <f>IF($H63="","",IF(SUMPRODUCT(--(LOWER(TRIM($H$6:$H$481))=LOWER(TRIM($H63))),--($I$6:$I$481&lt;&gt;$I63))&gt;0,"AMBIGUOUS — MAPS TO MULTIPLE TEAMS",IF(COUNTIF($H$6:$H$481,$H63)&gt;1,"DUPLICATE x"&amp;COUNTIF($H$6:$H$481,$H63)&amp;" -&gt; "&amp;$I63,"")))</f>
        <v/>
      </c>
      <c r="K63" t="inlineStr">
        <is>
          <t>RUTG</t>
        </is>
      </c>
    </row>
    <row r="64">
      <c r="A64" t="inlineStr">
        <is>
          <t>NCST</t>
        </is>
      </c>
      <c r="H64" t="inlineStr">
        <is>
          <t>Indiana</t>
        </is>
      </c>
      <c r="J64">
        <f>IF($H64="","",IF(SUMPRODUCT(--(LOWER(TRIM($H$6:$H$481))=LOWER(TRIM($H64))),--($I$6:$I$481&lt;&gt;$I64))&gt;0,"AMBIGUOUS — MAPS TO MULTIPLE TEAMS",IF(COUNTIF($H$6:$H$481,$H64)&gt;1,"DUPLICATE x"&amp;COUNTIF($H$6:$H$481,$H64)&amp;" -&gt; "&amp;$I64,"")))</f>
        <v/>
      </c>
      <c r="K64" t="inlineStr">
        <is>
          <t>UCLA</t>
        </is>
      </c>
    </row>
    <row r="65">
      <c r="A65" t="inlineStr">
        <is>
          <t>UNC</t>
        </is>
      </c>
      <c r="H65" t="inlineStr">
        <is>
          <t>Hoosiers</t>
        </is>
      </c>
      <c r="J65">
        <f>IF($H65="","",IF(SUMPRODUCT(--(LOWER(TRIM($H$6:$H$481))=LOWER(TRIM($H65))),--($I$6:$I$481&lt;&gt;$I65))&gt;0,"AMBIGUOUS — MAPS TO MULTIPLE TEAMS",IF(COUNTIF($H$6:$H$481,$H65)&gt;1,"DUPLICATE x"&amp;COUNTIF($H$6:$H$481,$H65)&amp;" -&gt; "&amp;$I65,"")))</f>
        <v/>
      </c>
      <c r="K65" t="inlineStr">
        <is>
          <t>USC</t>
        </is>
      </c>
    </row>
    <row r="66">
      <c r="A66" t="inlineStr">
        <is>
          <t>PITT</t>
        </is>
      </c>
      <c r="H66" t="inlineStr">
        <is>
          <t>IOWA</t>
        </is>
      </c>
      <c r="J66">
        <f>IF($H66="","",IF(SUMPRODUCT(--(LOWER(TRIM($H$6:$H$481))=LOWER(TRIM($H66))),--($I$6:$I$481&lt;&gt;$I66))&gt;0,"AMBIGUOUS — MAPS TO MULTIPLE TEAMS",IF(COUNTIF($H$6:$H$481,$H66)&gt;1,"DUPLICATE x"&amp;COUNTIF($H$6:$H$481,$H66)&amp;" -&gt; "&amp;$I66,"")))</f>
        <v/>
      </c>
      <c r="K66" t="inlineStr">
        <is>
          <t>Washington</t>
        </is>
      </c>
    </row>
    <row r="67">
      <c r="A67" t="inlineStr">
        <is>
          <t>SMU</t>
        </is>
      </c>
      <c r="H67" t="inlineStr">
        <is>
          <t>Hawkeyes</t>
        </is>
      </c>
      <c r="J67">
        <f>IF($H67="","",IF(SUMPRODUCT(--(LOWER(TRIM($H$6:$H$481))=LOWER(TRIM($H67))),--($I$6:$I$481&lt;&gt;$I67))&gt;0,"AMBIGUOUS — MAPS TO MULTIPLE TEAMS",IF(COUNTIF($H$6:$H$481,$H67)&gt;1,"DUPLICATE x"&amp;COUNTIF($H$6:$H$481,$H67)&amp;" -&gt; "&amp;$I67,"")))</f>
        <v/>
      </c>
      <c r="K67" t="inlineStr">
        <is>
          <t>WASH</t>
        </is>
      </c>
    </row>
    <row r="68">
      <c r="A68" t="inlineStr">
        <is>
          <t>STAN</t>
        </is>
      </c>
      <c r="H68" t="inlineStr">
        <is>
          <t>MD</t>
        </is>
      </c>
      <c r="J68">
        <f>IF($H68="","",IF(SUMPRODUCT(--(LOWER(TRIM($H$6:$H$481))=LOWER(TRIM($H68))),--($I$6:$I$481&lt;&gt;$I68))&gt;0,"AMBIGUOUS — MAPS TO MULTIPLE TEAMS",IF(COUNTIF($H$6:$H$481,$H68)&gt;1,"DUPLICATE x"&amp;COUNTIF($H$6:$H$481,$H68)&amp;" -&gt; "&amp;$I68,"")))</f>
        <v/>
      </c>
      <c r="K68" t="inlineStr">
        <is>
          <t>Wisconsin</t>
        </is>
      </c>
    </row>
    <row r="69">
      <c r="A69" t="inlineStr">
        <is>
          <t>SYR</t>
        </is>
      </c>
      <c r="H69" t="inlineStr">
        <is>
          <t>Maryland</t>
        </is>
      </c>
      <c r="J69">
        <f>IF($H69="","",IF(SUMPRODUCT(--(LOWER(TRIM($H$6:$H$481))=LOWER(TRIM($H69))),--($I$6:$I$481&lt;&gt;$I69))&gt;0,"AMBIGUOUS — MAPS TO MULTIPLE TEAMS",IF(COUNTIF($H$6:$H$481,$H69)&gt;1,"DUPLICATE x"&amp;COUNTIF($H$6:$H$481,$H69)&amp;" -&gt; "&amp;$I69,"")))</f>
        <v/>
      </c>
      <c r="K69" t="inlineStr">
        <is>
          <t>WISC</t>
        </is>
      </c>
    </row>
    <row r="70">
      <c r="A70" t="inlineStr">
        <is>
          <t>UVA</t>
        </is>
      </c>
      <c r="H70" t="inlineStr">
        <is>
          <t>UMD</t>
        </is>
      </c>
      <c r="J70">
        <f>IF($H70="","",IF(SUMPRODUCT(--(LOWER(TRIM($H$6:$H$481))=LOWER(TRIM($H70))),--($I$6:$I$481&lt;&gt;$I70))&gt;0,"AMBIGUOUS — MAPS TO MULTIPLE TEAMS",IF(COUNTIF($H$6:$H$481,$H70)&gt;1,"DUPLICATE x"&amp;COUNTIF($H$6:$H$481,$H70)&amp;" -&gt; "&amp;$I70,"")))</f>
        <v/>
      </c>
      <c r="K70" t="inlineStr">
        <is>
          <t>Arizona</t>
        </is>
      </c>
    </row>
    <row r="71">
      <c r="A71" t="inlineStr">
        <is>
          <t>VT</t>
        </is>
      </c>
      <c r="H71" t="inlineStr">
        <is>
          <t>Terps</t>
        </is>
      </c>
      <c r="J71">
        <f>IF($H71="","",IF(SUMPRODUCT(--(LOWER(TRIM($H$6:$H$481))=LOWER(TRIM($H71))),--($I$6:$I$481&lt;&gt;$I71))&gt;0,"AMBIGUOUS — MAPS TO MULTIPLE TEAMS",IF(COUNTIF($H$6:$H$481,$H71)&gt;1,"DUPLICATE x"&amp;COUNTIF($H$6:$H$481,$H71)&amp;" -&gt; "&amp;$I71,"")))</f>
        <v/>
      </c>
      <c r="K71" t="inlineStr">
        <is>
          <t>ARIZ</t>
        </is>
      </c>
    </row>
    <row r="72">
      <c r="A72" t="inlineStr">
        <is>
          <t>WAKE</t>
        </is>
      </c>
      <c r="H72" t="inlineStr">
        <is>
          <t>MICH</t>
        </is>
      </c>
      <c r="J72">
        <f>IF($H72="","",IF(SUMPRODUCT(--(LOWER(TRIM($H$6:$H$481))=LOWER(TRIM($H72))),--($I$6:$I$481&lt;&gt;$I72))&gt;0,"AMBIGUOUS — MAPS TO MULTIPLE TEAMS",IF(COUNTIF($H$6:$H$481,$H72)&gt;1,"DUPLICATE x"&amp;COUNTIF($H$6:$H$481,$H72)&amp;" -&gt; "&amp;$I72,"")))</f>
        <v/>
      </c>
      <c r="K72" t="inlineStr">
        <is>
          <t>Arizona State</t>
        </is>
      </c>
    </row>
    <row r="73">
      <c r="A73" t="inlineStr">
        <is>
          <t>BSU</t>
        </is>
      </c>
      <c r="H73" t="inlineStr">
        <is>
          <t>Michigan</t>
        </is>
      </c>
      <c r="J73">
        <f>IF($H73="","",IF(SUMPRODUCT(--(LOWER(TRIM($H$6:$H$481))=LOWER(TRIM($H73))),--($I$6:$I$481&lt;&gt;$I73))&gt;0,"AMBIGUOUS — MAPS TO MULTIPLE TEAMS",IF(COUNTIF($H$6:$H$481,$H73)&gt;1,"DUPLICATE x"&amp;COUNTIF($H$6:$H$481,$H73)&amp;" -&gt; "&amp;$I73,"")))</f>
        <v/>
      </c>
      <c r="K73" t="inlineStr">
        <is>
          <t>AZST</t>
        </is>
      </c>
    </row>
    <row r="74">
      <c r="A74" t="inlineStr">
        <is>
          <t>CSU</t>
        </is>
      </c>
      <c r="H74" t="inlineStr">
        <is>
          <t>Wolverines</t>
        </is>
      </c>
      <c r="J74">
        <f>IF($H74="","",IF(SUMPRODUCT(--(LOWER(TRIM($H$6:$H$481))=LOWER(TRIM($H74))),--($I$6:$I$481&lt;&gt;$I74))&gt;0,"AMBIGUOUS — MAPS TO MULTIPLE TEAMS",IF(COUNTIF($H$6:$H$481,$H74)&gt;1,"DUPLICATE x"&amp;COUNTIF($H$6:$H$481,$H74)&amp;" -&gt; "&amp;$I74,"")))</f>
        <v/>
      </c>
      <c r="K74" t="inlineStr">
        <is>
          <t>Baylor</t>
        </is>
      </c>
    </row>
    <row r="75">
      <c r="A75" t="inlineStr">
        <is>
          <t>FRES</t>
        </is>
      </c>
      <c r="H75" t="inlineStr">
        <is>
          <t>MSU</t>
        </is>
      </c>
      <c r="J75">
        <f>IF($H75="","",IF(SUMPRODUCT(--(LOWER(TRIM($H$6:$H$481))=LOWER(TRIM($H75))),--($I$6:$I$481&lt;&gt;$I75))&gt;0,"AMBIGUOUS — MAPS TO MULTIPLE TEAMS",IF(COUNTIF($H$6:$H$481,$H75)&gt;1,"DUPLICATE x"&amp;COUNTIF($H$6:$H$481,$H75)&amp;" -&gt; "&amp;$I75,"")))</f>
        <v/>
      </c>
      <c r="K75" t="inlineStr">
        <is>
          <t>BAY</t>
        </is>
      </c>
    </row>
    <row r="76">
      <c r="A76" t="inlineStr">
        <is>
          <t>ORST</t>
        </is>
      </c>
      <c r="H76" t="inlineStr">
        <is>
          <t>Michigan State</t>
        </is>
      </c>
      <c r="J76">
        <f>IF($H76="","",IF(SUMPRODUCT(--(LOWER(TRIM($H$6:$H$481))=LOWER(TRIM($H76))),--($I$6:$I$481&lt;&gt;$I76))&gt;0,"AMBIGUOUS — MAPS TO MULTIPLE TEAMS",IF(COUNTIF($H$6:$H$481,$H76)&gt;1,"DUPLICATE x"&amp;COUNTIF($H$6:$H$481,$H76)&amp;" -&gt; "&amp;$I76,"")))</f>
        <v/>
      </c>
      <c r="K76" t="inlineStr">
        <is>
          <t>BYU</t>
        </is>
      </c>
    </row>
    <row r="77">
      <c r="A77" t="inlineStr">
        <is>
          <t>SDSU</t>
        </is>
      </c>
      <c r="H77" t="inlineStr">
        <is>
          <t>Mich State</t>
        </is>
      </c>
      <c r="J77">
        <f>IF($H77="","",IF(SUMPRODUCT(--(LOWER(TRIM($H$6:$H$481))=LOWER(TRIM($H77))),--($I$6:$I$481&lt;&gt;$I77))&gt;0,"AMBIGUOUS — MAPS TO MULTIPLE TEAMS",IF(COUNTIF($H$6:$H$481,$H77)&gt;1,"DUPLICATE x"&amp;COUNTIF($H$6:$H$481,$H77)&amp;" -&gt; "&amp;$I77,"")))</f>
        <v/>
      </c>
      <c r="K77" t="inlineStr">
        <is>
          <t>Cincinnati</t>
        </is>
      </c>
    </row>
    <row r="78">
      <c r="A78" t="inlineStr">
        <is>
          <t>TXST</t>
        </is>
      </c>
      <c r="H78" t="inlineStr">
        <is>
          <t>Sparty</t>
        </is>
      </c>
      <c r="J78">
        <f>IF($H78="","",IF(SUMPRODUCT(--(LOWER(TRIM($H$6:$H$481))=LOWER(TRIM($H78))),--($I$6:$I$481&lt;&gt;$I78))&gt;0,"AMBIGUOUS — MAPS TO MULTIPLE TEAMS",IF(COUNTIF($H$6:$H$481,$H78)&gt;1,"DUPLICATE x"&amp;COUNTIF($H$6:$H$481,$H78)&amp;" -&gt; "&amp;$I78,"")))</f>
        <v/>
      </c>
      <c r="K78" t="inlineStr">
        <is>
          <t>CIN</t>
        </is>
      </c>
    </row>
    <row r="79">
      <c r="A79" t="inlineStr">
        <is>
          <t>USU</t>
        </is>
      </c>
      <c r="H79" t="inlineStr">
        <is>
          <t>MINN</t>
        </is>
      </c>
      <c r="J79">
        <f>IF($H79="","",IF(SUMPRODUCT(--(LOWER(TRIM($H$6:$H$481))=LOWER(TRIM($H79))),--($I$6:$I$481&lt;&gt;$I79))&gt;0,"AMBIGUOUS — MAPS TO MULTIPLE TEAMS",IF(COUNTIF($H$6:$H$481,$H79)&gt;1,"DUPLICATE x"&amp;COUNTIF($H$6:$H$481,$H79)&amp;" -&gt; "&amp;$I79,"")))</f>
        <v/>
      </c>
      <c r="K79" t="inlineStr">
        <is>
          <t>Colorado</t>
        </is>
      </c>
    </row>
    <row r="80">
      <c r="A80" t="inlineStr">
        <is>
          <t>WSU</t>
        </is>
      </c>
      <c r="H80" t="inlineStr">
        <is>
          <t>Minnesota</t>
        </is>
      </c>
      <c r="J80">
        <f>IF($H80="","",IF(SUMPRODUCT(--(LOWER(TRIM($H$6:$H$481))=LOWER(TRIM($H80))),--($I$6:$I$481&lt;&gt;$I80))&gt;0,"AMBIGUOUS — MAPS TO MULTIPLE TEAMS",IF(COUNTIF($H$6:$H$481,$H80)&gt;1,"DUPLICATE x"&amp;COUNTIF($H$6:$H$481,$H80)&amp;" -&gt; "&amp;$I80,"")))</f>
        <v/>
      </c>
      <c r="K80" t="inlineStr">
        <is>
          <t>COLO</t>
        </is>
      </c>
    </row>
    <row r="81">
      <c r="A81" t="inlineStr">
        <is>
          <t>ARMY</t>
        </is>
      </c>
      <c r="H81" t="inlineStr">
        <is>
          <t>Gophers</t>
        </is>
      </c>
      <c r="J81">
        <f>IF($H81="","",IF(SUMPRODUCT(--(LOWER(TRIM($H$6:$H$481))=LOWER(TRIM($H81))),--($I$6:$I$481&lt;&gt;$I81))&gt;0,"AMBIGUOUS — MAPS TO MULTIPLE TEAMS",IF(COUNTIF($H$6:$H$481,$H81)&gt;1,"DUPLICATE x"&amp;COUNTIF($H$6:$H$481,$H81)&amp;" -&gt; "&amp;$I81,"")))</f>
        <v/>
      </c>
      <c r="K81" t="inlineStr">
        <is>
          <t>Houston</t>
        </is>
      </c>
    </row>
    <row r="82">
      <c r="A82" t="inlineStr">
        <is>
          <t>CLT</t>
        </is>
      </c>
      <c r="H82" t="inlineStr">
        <is>
          <t>NEB</t>
        </is>
      </c>
      <c r="J82">
        <f>IF($H82="","",IF(SUMPRODUCT(--(LOWER(TRIM($H$6:$H$481))=LOWER(TRIM($H82))),--($I$6:$I$481&lt;&gt;$I82))&gt;0,"AMBIGUOUS — MAPS TO MULTIPLE TEAMS",IF(COUNTIF($H$6:$H$481,$H82)&gt;1,"DUPLICATE x"&amp;COUNTIF($H$6:$H$481,$H82)&amp;" -&gt; "&amp;$I82,"")))</f>
        <v/>
      </c>
      <c r="K82" t="inlineStr">
        <is>
          <t>HOU</t>
        </is>
      </c>
    </row>
    <row r="83">
      <c r="A83" t="inlineStr">
        <is>
          <t>ECU</t>
        </is>
      </c>
      <c r="H83" t="inlineStr">
        <is>
          <t>Nebraska</t>
        </is>
      </c>
      <c r="J83">
        <f>IF($H83="","",IF(SUMPRODUCT(--(LOWER(TRIM($H$6:$H$481))=LOWER(TRIM($H83))),--($I$6:$I$481&lt;&gt;$I83))&gt;0,"AMBIGUOUS — MAPS TO MULTIPLE TEAMS",IF(COUNTIF($H$6:$H$481,$H83)&gt;1,"DUPLICATE x"&amp;COUNTIF($H$6:$H$481,$H83)&amp;" -&gt; "&amp;$I83,"")))</f>
        <v/>
      </c>
      <c r="K83" t="inlineStr">
        <is>
          <t>Iowa State</t>
        </is>
      </c>
    </row>
    <row r="84">
      <c r="A84" t="inlineStr">
        <is>
          <t>FAU</t>
        </is>
      </c>
      <c r="H84" t="inlineStr">
        <is>
          <t>Huskers</t>
        </is>
      </c>
      <c r="J84">
        <f>IF($H84="","",IF(SUMPRODUCT(--(LOWER(TRIM($H$6:$H$481))=LOWER(TRIM($H84))),--($I$6:$I$481&lt;&gt;$I84))&gt;0,"AMBIGUOUS — MAPS TO MULTIPLE TEAMS",IF(COUNTIF($H$6:$H$481,$H84)&gt;1,"DUPLICATE x"&amp;COUNTIF($H$6:$H$481,$H84)&amp;" -&gt; "&amp;$I84,"")))</f>
        <v/>
      </c>
      <c r="K84" t="inlineStr">
        <is>
          <t>ISU</t>
        </is>
      </c>
    </row>
    <row r="85">
      <c r="A85" t="inlineStr">
        <is>
          <t>MEM</t>
        </is>
      </c>
      <c r="H85" t="inlineStr">
        <is>
          <t>NW</t>
        </is>
      </c>
      <c r="J85">
        <f>IF($H85="","",IF(SUMPRODUCT(--(LOWER(TRIM($H$6:$H$481))=LOWER(TRIM($H85))),--($I$6:$I$481&lt;&gt;$I85))&gt;0,"AMBIGUOUS — MAPS TO MULTIPLE TEAMS",IF(COUNTIF($H$6:$H$481,$H85)&gt;1,"DUPLICATE x"&amp;COUNTIF($H$6:$H$481,$H85)&amp;" -&gt; "&amp;$I85,"")))</f>
        <v/>
      </c>
      <c r="K85" t="inlineStr">
        <is>
          <t>Kansas</t>
        </is>
      </c>
    </row>
    <row r="86">
      <c r="A86" t="inlineStr">
        <is>
          <t>NAVY</t>
        </is>
      </c>
      <c r="H86" t="inlineStr">
        <is>
          <t>Northwestern</t>
        </is>
      </c>
      <c r="J86">
        <f>IF($H86="","",IF(SUMPRODUCT(--(LOWER(TRIM($H$6:$H$481))=LOWER(TRIM($H86))),--($I$6:$I$481&lt;&gt;$I86))&gt;0,"AMBIGUOUS — MAPS TO MULTIPLE TEAMS",IF(COUNTIF($H$6:$H$481,$H86)&gt;1,"DUPLICATE x"&amp;COUNTIF($H$6:$H$481,$H86)&amp;" -&gt; "&amp;$I86,"")))</f>
        <v/>
      </c>
      <c r="K86" t="inlineStr">
        <is>
          <t>KAN</t>
        </is>
      </c>
    </row>
    <row r="87">
      <c r="A87" t="inlineStr">
        <is>
          <t>UNT</t>
        </is>
      </c>
      <c r="H87" t="inlineStr">
        <is>
          <t>NWern</t>
        </is>
      </c>
      <c r="J87">
        <f>IF($H87="","",IF(SUMPRODUCT(--(LOWER(TRIM($H$6:$H$481))=LOWER(TRIM($H87))),--($I$6:$I$481&lt;&gt;$I87))&gt;0,"AMBIGUOUS — MAPS TO MULTIPLE TEAMS",IF(COUNTIF($H$6:$H$481,$H87)&gt;1,"DUPLICATE x"&amp;COUNTIF($H$6:$H$481,$H87)&amp;" -&gt; "&amp;$I87,"")))</f>
        <v/>
      </c>
      <c r="K87" t="inlineStr">
        <is>
          <t>Kansas State</t>
        </is>
      </c>
    </row>
    <row r="88">
      <c r="A88" t="inlineStr">
        <is>
          <t>RICE</t>
        </is>
      </c>
      <c r="H88" t="inlineStr">
        <is>
          <t>OHST</t>
        </is>
      </c>
      <c r="J88">
        <f>IF($H88="","",IF(SUMPRODUCT(--(LOWER(TRIM($H$6:$H$481))=LOWER(TRIM($H88))),--($I$6:$I$481&lt;&gt;$I88))&gt;0,"AMBIGUOUS — MAPS TO MULTIPLE TEAMS",IF(COUNTIF($H$6:$H$481,$H88)&gt;1,"DUPLICATE x"&amp;COUNTIF($H$6:$H$481,$H88)&amp;" -&gt; "&amp;$I88,"")))</f>
        <v/>
      </c>
      <c r="K88" t="inlineStr">
        <is>
          <t>KSU</t>
        </is>
      </c>
    </row>
    <row r="89">
      <c r="A89" t="inlineStr">
        <is>
          <t>USF</t>
        </is>
      </c>
      <c r="H89" t="inlineStr">
        <is>
          <t>Ohio State</t>
        </is>
      </c>
      <c r="J89">
        <f>IF($H89="","",IF(SUMPRODUCT(--(LOWER(TRIM($H$6:$H$481))=LOWER(TRIM($H89))),--($I$6:$I$481&lt;&gt;$I89))&gt;0,"AMBIGUOUS — MAPS TO MULTIPLE TEAMS",IF(COUNTIF($H$6:$H$481,$H89)&gt;1,"DUPLICATE x"&amp;COUNTIF($H$6:$H$481,$H89)&amp;" -&gt; "&amp;$I89,"")))</f>
        <v/>
      </c>
      <c r="K89" t="inlineStr">
        <is>
          <t>Oklahoma State</t>
        </is>
      </c>
    </row>
    <row r="90">
      <c r="A90" t="inlineStr">
        <is>
          <t>TEM</t>
        </is>
      </c>
      <c r="H90" t="inlineStr">
        <is>
          <t>Buckeyes</t>
        </is>
      </c>
      <c r="J90">
        <f>IF($H90="","",IF(SUMPRODUCT(--(LOWER(TRIM($H$6:$H$481))=LOWER(TRIM($H90))),--($I$6:$I$481&lt;&gt;$I90))&gt;0,"AMBIGUOUS — MAPS TO MULTIPLE TEAMS",IF(COUNTIF($H$6:$H$481,$H90)&gt;1,"DUPLICATE x"&amp;COUNTIF($H$6:$H$481,$H90)&amp;" -&gt; "&amp;$I90,"")))</f>
        <v/>
      </c>
      <c r="K90" t="inlineStr">
        <is>
          <t>OKST</t>
        </is>
      </c>
    </row>
    <row r="91">
      <c r="A91" t="inlineStr">
        <is>
          <t>TULN</t>
        </is>
      </c>
      <c r="H91" t="inlineStr">
        <is>
          <t>ORE</t>
        </is>
      </c>
      <c r="J91">
        <f>IF($H91="","",IF(SUMPRODUCT(--(LOWER(TRIM($H$6:$H$481))=LOWER(TRIM($H91))),--($I$6:$I$481&lt;&gt;$I91))&gt;0,"AMBIGUOUS — MAPS TO MULTIPLE TEAMS",IF(COUNTIF($H$6:$H$481,$H91)&gt;1,"DUPLICATE x"&amp;COUNTIF($H$6:$H$481,$H91)&amp;" -&gt; "&amp;$I91,"")))</f>
        <v/>
      </c>
      <c r="K91" t="inlineStr">
        <is>
          <t>TCU</t>
        </is>
      </c>
    </row>
    <row r="92">
      <c r="A92" t="inlineStr">
        <is>
          <t>TLSA</t>
        </is>
      </c>
      <c r="H92" t="inlineStr">
        <is>
          <t>Oregon</t>
        </is>
      </c>
      <c r="J92">
        <f>IF($H92="","",IF(SUMPRODUCT(--(LOWER(TRIM($H$6:$H$481))=LOWER(TRIM($H92))),--($I$6:$I$481&lt;&gt;$I92))&gt;0,"AMBIGUOUS — MAPS TO MULTIPLE TEAMS",IF(COUNTIF($H$6:$H$481,$H92)&gt;1,"DUPLICATE x"&amp;COUNTIF($H$6:$H$481,$H92)&amp;" -&gt; "&amp;$I92,"")))</f>
        <v/>
      </c>
      <c r="K92" t="inlineStr">
        <is>
          <t>Texas Tech</t>
        </is>
      </c>
    </row>
    <row r="93">
      <c r="A93" t="inlineStr">
        <is>
          <t>UAB</t>
        </is>
      </c>
      <c r="H93" t="inlineStr">
        <is>
          <t>Ducks</t>
        </is>
      </c>
      <c r="J93">
        <f>IF($H93="","",IF(SUMPRODUCT(--(LOWER(TRIM($H$6:$H$481))=LOWER(TRIM($H93))),--($I$6:$I$481&lt;&gt;$I93))&gt;0,"AMBIGUOUS — MAPS TO MULTIPLE TEAMS",IF(COUNTIF($H$6:$H$481,$H93)&gt;1,"DUPLICATE x"&amp;COUNTIF($H$6:$H$481,$H93)&amp;" -&gt; "&amp;$I93,"")))</f>
        <v/>
      </c>
      <c r="K93" t="inlineStr">
        <is>
          <t>TTU</t>
        </is>
      </c>
    </row>
    <row r="94">
      <c r="A94" t="inlineStr">
        <is>
          <t>UTSA</t>
        </is>
      </c>
      <c r="H94" t="inlineStr">
        <is>
          <t>PSU</t>
        </is>
      </c>
      <c r="J94">
        <f>IF($H94="","",IF(SUMPRODUCT(--(LOWER(TRIM($H$6:$H$481))=LOWER(TRIM($H94))),--($I$6:$I$481&lt;&gt;$I94))&gt;0,"AMBIGUOUS — MAPS TO MULTIPLE TEAMS",IF(COUNTIF($H$6:$H$481,$H94)&gt;1,"DUPLICATE x"&amp;COUNTIF($H$6:$H$481,$H94)&amp;" -&gt; "&amp;$I94,"")))</f>
        <v/>
      </c>
      <c r="K94" t="inlineStr">
        <is>
          <t>UCF</t>
        </is>
      </c>
    </row>
    <row r="95">
      <c r="A95" t="inlineStr">
        <is>
          <t>DEL</t>
        </is>
      </c>
      <c r="H95" t="inlineStr">
        <is>
          <t>Penn State</t>
        </is>
      </c>
      <c r="J95">
        <f>IF($H95="","",IF(SUMPRODUCT(--(LOWER(TRIM($H$6:$H$481))=LOWER(TRIM($H95))),--($I$6:$I$481&lt;&gt;$I95))&gt;0,"AMBIGUOUS — MAPS TO MULTIPLE TEAMS",IF(COUNTIF($H$6:$H$481,$H95)&gt;1,"DUPLICATE x"&amp;COUNTIF($H$6:$H$481,$H95)&amp;" -&gt; "&amp;$I95,"")))</f>
        <v/>
      </c>
      <c r="K95" t="inlineStr">
        <is>
          <t>Utah</t>
        </is>
      </c>
    </row>
    <row r="96">
      <c r="A96" t="inlineStr">
        <is>
          <t>FIU</t>
        </is>
      </c>
      <c r="H96" t="inlineStr">
        <is>
          <t>Nittany Lions</t>
        </is>
      </c>
      <c r="J96">
        <f>IF($H96="","",IF(SUMPRODUCT(--(LOWER(TRIM($H$6:$H$481))=LOWER(TRIM($H96))),--($I$6:$I$481&lt;&gt;$I96))&gt;0,"AMBIGUOUS — MAPS TO MULTIPLE TEAMS",IF(COUNTIF($H$6:$H$481,$H96)&gt;1,"DUPLICATE x"&amp;COUNTIF($H$6:$H$481,$H96)&amp;" -&gt; "&amp;$I96,"")))</f>
        <v/>
      </c>
      <c r="K96" t="inlineStr">
        <is>
          <t>West Virginia</t>
        </is>
      </c>
    </row>
    <row r="97">
      <c r="A97" t="inlineStr">
        <is>
          <t>JVST</t>
        </is>
      </c>
      <c r="H97" t="inlineStr">
        <is>
          <t>PUR</t>
        </is>
      </c>
      <c r="J97">
        <f>IF($H97="","",IF(SUMPRODUCT(--(LOWER(TRIM($H$6:$H$481))=LOWER(TRIM($H97))),--($I$6:$I$481&lt;&gt;$I97))&gt;0,"AMBIGUOUS — MAPS TO MULTIPLE TEAMS",IF(COUNTIF($H$6:$H$481,$H97)&gt;1,"DUPLICATE x"&amp;COUNTIF($H$6:$H$481,$H97)&amp;" -&gt; "&amp;$I97,"")))</f>
        <v/>
      </c>
      <c r="K97" t="inlineStr">
        <is>
          <t>WVU</t>
        </is>
      </c>
    </row>
    <row r="98">
      <c r="A98" t="inlineStr">
        <is>
          <t>KENN</t>
        </is>
      </c>
      <c r="H98" t="inlineStr">
        <is>
          <t>Purdue</t>
        </is>
      </c>
      <c r="J98">
        <f>IF($H98="","",IF(SUMPRODUCT(--(LOWER(TRIM($H$6:$H$481))=LOWER(TRIM($H98))),--($I$6:$I$481&lt;&gt;$I98))&gt;0,"AMBIGUOUS — MAPS TO MULTIPLE TEAMS",IF(COUNTIF($H$6:$H$481,$H98)&gt;1,"DUPLICATE x"&amp;COUNTIF($H$6:$H$481,$H98)&amp;" -&gt; "&amp;$I98,"")))</f>
        <v/>
      </c>
      <c r="K98" t="inlineStr">
        <is>
          <t>Boston College</t>
        </is>
      </c>
    </row>
    <row r="99">
      <c r="A99" t="inlineStr">
        <is>
          <t>LIB</t>
        </is>
      </c>
      <c r="H99" t="inlineStr">
        <is>
          <t>Boilermakers</t>
        </is>
      </c>
      <c r="J99">
        <f>IF($H99="","",IF(SUMPRODUCT(--(LOWER(TRIM($H$6:$H$481))=LOWER(TRIM($H99))),--($I$6:$I$481&lt;&gt;$I99))&gt;0,"AMBIGUOUS — MAPS TO MULTIPLE TEAMS",IF(COUNTIF($H$6:$H$481,$H99)&gt;1,"DUPLICATE x"&amp;COUNTIF($H$6:$H$481,$H99)&amp;" -&gt; "&amp;$I99,"")))</f>
        <v/>
      </c>
      <c r="K99" t="inlineStr">
        <is>
          <t>BC</t>
        </is>
      </c>
    </row>
    <row r="100">
      <c r="A100" t="inlineStr">
        <is>
          <t>MTSU</t>
        </is>
      </c>
      <c r="H100" t="inlineStr">
        <is>
          <t>RUTG</t>
        </is>
      </c>
      <c r="J100">
        <f>IF($H100="","",IF(SUMPRODUCT(--(LOWER(TRIM($H$6:$H$481))=LOWER(TRIM($H100))),--($I$6:$I$481&lt;&gt;$I100))&gt;0,"AMBIGUOUS — MAPS TO MULTIPLE TEAMS",IF(COUNTIF($H$6:$H$481,$H100)&gt;1,"DUPLICATE x"&amp;COUNTIF($H$6:$H$481,$H100)&amp;" -&gt; "&amp;$I100,"")))</f>
        <v/>
      </c>
      <c r="K100" t="inlineStr">
        <is>
          <t>California</t>
        </is>
      </c>
    </row>
    <row r="101">
      <c r="A101" t="inlineStr">
        <is>
          <t>MOST</t>
        </is>
      </c>
      <c r="H101" t="inlineStr">
        <is>
          <t>Rutgers</t>
        </is>
      </c>
      <c r="J101">
        <f>IF($H101="","",IF(SUMPRODUCT(--(LOWER(TRIM($H$6:$H$481))=LOWER(TRIM($H101))),--($I$6:$I$481&lt;&gt;$I101))&gt;0,"AMBIGUOUS — MAPS TO MULTIPLE TEAMS",IF(COUNTIF($H$6:$H$481,$H101)&gt;1,"DUPLICATE x"&amp;COUNTIF($H$6:$H$481,$H101)&amp;" -&gt; "&amp;$I101,"")))</f>
        <v/>
      </c>
      <c r="K101" t="inlineStr">
        <is>
          <t>CAL</t>
        </is>
      </c>
    </row>
    <row r="102">
      <c r="A102" t="inlineStr">
        <is>
          <t>NMSU</t>
        </is>
      </c>
      <c r="H102" t="inlineStr">
        <is>
          <t>Scarlet Knights</t>
        </is>
      </c>
      <c r="J102">
        <f>IF($H102="","",IF(SUMPRODUCT(--(LOWER(TRIM($H$6:$H$481))=LOWER(TRIM($H102))),--($I$6:$I$481&lt;&gt;$I102))&gt;0,"AMBIGUOUS — MAPS TO MULTIPLE TEAMS",IF(COUNTIF($H$6:$H$481,$H102)&gt;1,"DUPLICATE x"&amp;COUNTIF($H$6:$H$481,$H102)&amp;" -&gt; "&amp;$I102,"")))</f>
        <v/>
      </c>
      <c r="K102" t="inlineStr">
        <is>
          <t>Clemson</t>
        </is>
      </c>
    </row>
    <row r="103">
      <c r="A103" t="inlineStr">
        <is>
          <t>SHSU</t>
        </is>
      </c>
      <c r="H103" t="inlineStr">
        <is>
          <t>UCLA</t>
        </is>
      </c>
      <c r="J103">
        <f>IF($H103="","",IF(SUMPRODUCT(--(LOWER(TRIM($H$6:$H$481))=LOWER(TRIM($H103))),--($I$6:$I$481&lt;&gt;$I103))&gt;0,"AMBIGUOUS — MAPS TO MULTIPLE TEAMS",IF(COUNTIF($H$6:$H$481,$H103)&gt;1,"DUPLICATE x"&amp;COUNTIF($H$6:$H$481,$H103)&amp;" -&gt; "&amp;$I103,"")))</f>
        <v/>
      </c>
      <c r="K103" t="inlineStr">
        <is>
          <t>CLEM</t>
        </is>
      </c>
    </row>
    <row r="104">
      <c r="A104" t="inlineStr">
        <is>
          <t>WKU</t>
        </is>
      </c>
      <c r="H104" t="inlineStr">
        <is>
          <t>Bruins</t>
        </is>
      </c>
      <c r="J104">
        <f>IF($H104="","",IF(SUMPRODUCT(--(LOWER(TRIM($H$6:$H$481))=LOWER(TRIM($H104))),--($I$6:$I$481&lt;&gt;$I104))&gt;0,"AMBIGUOUS — MAPS TO MULTIPLE TEAMS",IF(COUNTIF($H$6:$H$481,$H104)&gt;1,"DUPLICATE x"&amp;COUNTIF($H$6:$H$481,$H104)&amp;" -&gt; "&amp;$I104,"")))</f>
        <v/>
      </c>
      <c r="K104" t="inlineStr">
        <is>
          <t>Duke</t>
        </is>
      </c>
    </row>
    <row r="105">
      <c r="A105" t="inlineStr">
        <is>
          <t>AKR</t>
        </is>
      </c>
      <c r="H105" t="inlineStr">
        <is>
          <t>USC</t>
        </is>
      </c>
      <c r="J105">
        <f>IF($H105="","",IF(SUMPRODUCT(--(LOWER(TRIM($H$6:$H$481))=LOWER(TRIM($H105))),--($I$6:$I$481&lt;&gt;$I105))&gt;0,"AMBIGUOUS — MAPS TO MULTIPLE TEAMS",IF(COUNTIF($H$6:$H$481,$H105)&gt;1,"DUPLICATE x"&amp;COUNTIF($H$6:$H$481,$H105)&amp;" -&gt; "&amp;$I105,"")))</f>
        <v/>
      </c>
      <c r="K105" t="inlineStr">
        <is>
          <t>Florida State</t>
        </is>
      </c>
    </row>
    <row r="106">
      <c r="A106" t="inlineStr">
        <is>
          <t>BALL</t>
        </is>
      </c>
      <c r="H106" t="inlineStr">
        <is>
          <t>Southern Cal</t>
        </is>
      </c>
      <c r="J106">
        <f>IF($H106="","",IF(SUMPRODUCT(--(LOWER(TRIM($H$6:$H$481))=LOWER(TRIM($H106))),--($I$6:$I$481&lt;&gt;$I106))&gt;0,"AMBIGUOUS — MAPS TO MULTIPLE TEAMS",IF(COUNTIF($H$6:$H$481,$H106)&gt;1,"DUPLICATE x"&amp;COUNTIF($H$6:$H$481,$H106)&amp;" -&gt; "&amp;$I106,"")))</f>
        <v/>
      </c>
      <c r="K106" t="inlineStr">
        <is>
          <t>FSU</t>
        </is>
      </c>
    </row>
    <row r="107">
      <c r="A107" t="inlineStr">
        <is>
          <t>BGSU</t>
        </is>
      </c>
      <c r="H107" t="inlineStr">
        <is>
          <t>Southern California</t>
        </is>
      </c>
      <c r="J107">
        <f>IF($H107="","",IF(SUMPRODUCT(--(LOWER(TRIM($H$6:$H$481))=LOWER(TRIM($H107))),--($I$6:$I$481&lt;&gt;$I107))&gt;0,"AMBIGUOUS — MAPS TO MULTIPLE TEAMS",IF(COUNTIF($H$6:$H$481,$H107)&gt;1,"DUPLICATE x"&amp;COUNTIF($H$6:$H$481,$H107)&amp;" -&gt; "&amp;$I107,"")))</f>
        <v/>
      </c>
      <c r="K107" t="inlineStr">
        <is>
          <t>Georgia Tech</t>
        </is>
      </c>
    </row>
    <row r="108">
      <c r="A108" t="inlineStr">
        <is>
          <t>BUFF</t>
        </is>
      </c>
      <c r="H108" t="inlineStr">
        <is>
          <t>WASH</t>
        </is>
      </c>
      <c r="J108">
        <f>IF($H108="","",IF(SUMPRODUCT(--(LOWER(TRIM($H$6:$H$481))=LOWER(TRIM($H108))),--($I$6:$I$481&lt;&gt;$I108))&gt;0,"AMBIGUOUS — MAPS TO MULTIPLE TEAMS",IF(COUNTIF($H$6:$H$481,$H108)&gt;1,"DUPLICATE x"&amp;COUNTIF($H$6:$H$481,$H108)&amp;" -&gt; "&amp;$I108,"")))</f>
        <v/>
      </c>
      <c r="K108" t="inlineStr">
        <is>
          <t>GT</t>
        </is>
      </c>
    </row>
    <row r="109">
      <c r="A109" t="inlineStr">
        <is>
          <t>CMU</t>
        </is>
      </c>
      <c r="H109" t="inlineStr">
        <is>
          <t>Washington</t>
        </is>
      </c>
      <c r="J109">
        <f>IF($H109="","",IF(SUMPRODUCT(--(LOWER(TRIM($H$6:$H$481))=LOWER(TRIM($H109))),--($I$6:$I$481&lt;&gt;$I109))&gt;0,"AMBIGUOUS — MAPS TO MULTIPLE TEAMS",IF(COUNTIF($H$6:$H$481,$H109)&gt;1,"DUPLICATE x"&amp;COUNTIF($H$6:$H$481,$H109)&amp;" -&gt; "&amp;$I109,"")))</f>
        <v/>
      </c>
      <c r="K109" t="inlineStr">
        <is>
          <t>Louisville</t>
        </is>
      </c>
    </row>
    <row r="110">
      <c r="A110" t="inlineStr">
        <is>
          <t>EMU</t>
        </is>
      </c>
      <c r="H110" t="inlineStr">
        <is>
          <t>UW</t>
        </is>
      </c>
      <c r="J110">
        <f>IF($H110="","",IF(SUMPRODUCT(--(LOWER(TRIM($H$6:$H$481))=LOWER(TRIM($H110))),--($I$6:$I$481&lt;&gt;$I110))&gt;0,"AMBIGUOUS — MAPS TO MULTIPLE TEAMS",IF(COUNTIF($H$6:$H$481,$H110)&gt;1,"DUPLICATE x"&amp;COUNTIF($H$6:$H$481,$H110)&amp;" -&gt; "&amp;$I110,"")))</f>
        <v/>
      </c>
      <c r="K110" t="inlineStr">
        <is>
          <t>LOU</t>
        </is>
      </c>
    </row>
    <row r="111">
      <c r="A111" t="inlineStr">
        <is>
          <t>KENT</t>
        </is>
      </c>
      <c r="H111" t="inlineStr">
        <is>
          <t>Huskies</t>
        </is>
      </c>
      <c r="J111">
        <f>IF($H111="","",IF(SUMPRODUCT(--(LOWER(TRIM($H$6:$H$481))=LOWER(TRIM($H111))),--($I$6:$I$481&lt;&gt;$I111))&gt;0,"AMBIGUOUS — MAPS TO MULTIPLE TEAMS",IF(COUNTIF($H$6:$H$481,$H111)&gt;1,"DUPLICATE x"&amp;COUNTIF($H$6:$H$481,$H111)&amp;" -&gt; "&amp;$I111,"")))</f>
        <v/>
      </c>
      <c r="K111" t="inlineStr">
        <is>
          <t>Miami</t>
        </is>
      </c>
    </row>
    <row r="112">
      <c r="A112" t="inlineStr">
        <is>
          <t>M-OH</t>
        </is>
      </c>
      <c r="H112" t="inlineStr">
        <is>
          <t>WISC</t>
        </is>
      </c>
      <c r="J112">
        <f>IF($H112="","",IF(SUMPRODUCT(--(LOWER(TRIM($H$6:$H$481))=LOWER(TRIM($H112))),--($I$6:$I$481&lt;&gt;$I112))&gt;0,"AMBIGUOUS — MAPS TO MULTIPLE TEAMS",IF(COUNTIF($H$6:$H$481,$H112)&gt;1,"DUPLICATE x"&amp;COUNTIF($H$6:$H$481,$H112)&amp;" -&gt; "&amp;$I112,"")))</f>
        <v/>
      </c>
      <c r="K112" t="inlineStr">
        <is>
          <t>MIA</t>
        </is>
      </c>
    </row>
    <row r="113">
      <c r="A113" t="inlineStr">
        <is>
          <t>OHIO</t>
        </is>
      </c>
      <c r="H113" t="inlineStr">
        <is>
          <t>Wisconsin</t>
        </is>
      </c>
      <c r="J113">
        <f>IF($H113="","",IF(SUMPRODUCT(--(LOWER(TRIM($H$6:$H$481))=LOWER(TRIM($H113))),--($I$6:$I$481&lt;&gt;$I113))&gt;0,"AMBIGUOUS — MAPS TO MULTIPLE TEAMS",IF(COUNTIF($H$6:$H$481,$H113)&gt;1,"DUPLICATE x"&amp;COUNTIF($H$6:$H$481,$H113)&amp;" -&gt; "&amp;$I113,"")))</f>
        <v/>
      </c>
      <c r="K113" t="inlineStr">
        <is>
          <t>NC State</t>
        </is>
      </c>
    </row>
    <row r="114">
      <c r="A114" t="inlineStr">
        <is>
          <t>SAC</t>
        </is>
      </c>
      <c r="H114" t="inlineStr">
        <is>
          <t>Badgers</t>
        </is>
      </c>
      <c r="J114">
        <f>IF($H114="","",IF(SUMPRODUCT(--(LOWER(TRIM($H$6:$H$481))=LOWER(TRIM($H114))),--($I$6:$I$481&lt;&gt;$I114))&gt;0,"AMBIGUOUS — MAPS TO MULTIPLE TEAMS",IF(COUNTIF($H$6:$H$481,$H114)&gt;1,"DUPLICATE x"&amp;COUNTIF($H$6:$H$481,$H114)&amp;" -&gt; "&amp;$I114,"")))</f>
        <v/>
      </c>
      <c r="K114" t="inlineStr">
        <is>
          <t>NCST</t>
        </is>
      </c>
    </row>
    <row r="115">
      <c r="A115" t="inlineStr">
        <is>
          <t>TOL</t>
        </is>
      </c>
      <c r="H115" t="inlineStr">
        <is>
          <t>ARIZ</t>
        </is>
      </c>
      <c r="J115">
        <f>IF($H115="","",IF(SUMPRODUCT(--(LOWER(TRIM($H$6:$H$481))=LOWER(TRIM($H115))),--($I$6:$I$481&lt;&gt;$I115))&gt;0,"AMBIGUOUS — MAPS TO MULTIPLE TEAMS",IF(COUNTIF($H$6:$H$481,$H115)&gt;1,"DUPLICATE x"&amp;COUNTIF($H$6:$H$481,$H115)&amp;" -&gt; "&amp;$I115,"")))</f>
        <v/>
      </c>
      <c r="K115" t="inlineStr">
        <is>
          <t>North Carolina</t>
        </is>
      </c>
    </row>
    <row r="116">
      <c r="A116" t="inlineStr">
        <is>
          <t>MASS</t>
        </is>
      </c>
      <c r="H116" t="inlineStr">
        <is>
          <t>Arizona</t>
        </is>
      </c>
      <c r="J116">
        <f>IF($H116="","",IF(SUMPRODUCT(--(LOWER(TRIM($H$6:$H$481))=LOWER(TRIM($H116))),--($I$6:$I$481&lt;&gt;$I116))&gt;0,"AMBIGUOUS — MAPS TO MULTIPLE TEAMS",IF(COUNTIF($H$6:$H$481,$H116)&gt;1,"DUPLICATE x"&amp;COUNTIF($H$6:$H$481,$H116)&amp;" -&gt; "&amp;$I116,"")))</f>
        <v/>
      </c>
      <c r="K116" t="inlineStr">
        <is>
          <t>UNC</t>
        </is>
      </c>
    </row>
    <row r="117">
      <c r="A117" t="inlineStr">
        <is>
          <t>WMU</t>
        </is>
      </c>
      <c r="H117" t="inlineStr">
        <is>
          <t>UA</t>
        </is>
      </c>
      <c r="J117">
        <f>IF($H117="","",IF(SUMPRODUCT(--(LOWER(TRIM($H$6:$H$481))=LOWER(TRIM($H117))),--($I$6:$I$481&lt;&gt;$I117))&gt;0,"AMBIGUOUS — MAPS TO MULTIPLE TEAMS",IF(COUNTIF($H$6:$H$481,$H117)&gt;1,"DUPLICATE x"&amp;COUNTIF($H$6:$H$481,$H117)&amp;" -&gt; "&amp;$I117,"")))</f>
        <v/>
      </c>
      <c r="K117" t="inlineStr">
        <is>
          <t>Pittsburgh</t>
        </is>
      </c>
    </row>
    <row r="118">
      <c r="A118" t="inlineStr">
        <is>
          <t>AFA</t>
        </is>
      </c>
      <c r="H118" t="inlineStr">
        <is>
          <t>Wildcats-ARIZ</t>
        </is>
      </c>
      <c r="J118">
        <f>IF($H118="","",IF(SUMPRODUCT(--(LOWER(TRIM($H$6:$H$481))=LOWER(TRIM($H118))),--($I$6:$I$481&lt;&gt;$I118))&gt;0,"AMBIGUOUS — MAPS TO MULTIPLE TEAMS",IF(COUNTIF($H$6:$H$481,$H118)&gt;1,"DUPLICATE x"&amp;COUNTIF($H$6:$H$481,$H118)&amp;" -&gt; "&amp;$I118,"")))</f>
        <v/>
      </c>
      <c r="K118" t="inlineStr">
        <is>
          <t>PITT</t>
        </is>
      </c>
    </row>
    <row r="119">
      <c r="A119" t="inlineStr">
        <is>
          <t>HAW</t>
        </is>
      </c>
      <c r="H119" t="inlineStr">
        <is>
          <t>AZST</t>
        </is>
      </c>
      <c r="J119">
        <f>IF($H119="","",IF(SUMPRODUCT(--(LOWER(TRIM($H$6:$H$481))=LOWER(TRIM($H119))),--($I$6:$I$481&lt;&gt;$I119))&gt;0,"AMBIGUOUS — MAPS TO MULTIPLE TEAMS",IF(COUNTIF($H$6:$H$481,$H119)&gt;1,"DUPLICATE x"&amp;COUNTIF($H$6:$H$481,$H119)&amp;" -&gt; "&amp;$I119,"")))</f>
        <v/>
      </c>
      <c r="K119" t="inlineStr">
        <is>
          <t>SMU</t>
        </is>
      </c>
    </row>
    <row r="120">
      <c r="A120" t="inlineStr">
        <is>
          <t>NEV</t>
        </is>
      </c>
      <c r="H120" t="inlineStr">
        <is>
          <t>Arizona State</t>
        </is>
      </c>
      <c r="J120">
        <f>IF($H120="","",IF(SUMPRODUCT(--(LOWER(TRIM($H$6:$H$481))=LOWER(TRIM($H120))),--($I$6:$I$481&lt;&gt;$I120))&gt;0,"AMBIGUOUS — MAPS TO MULTIPLE TEAMS",IF(COUNTIF($H$6:$H$481,$H120)&gt;1,"DUPLICATE x"&amp;COUNTIF($H$6:$H$481,$H120)&amp;" -&gt; "&amp;$I120,"")))</f>
        <v/>
      </c>
      <c r="K120" t="inlineStr">
        <is>
          <t>Stanford</t>
        </is>
      </c>
    </row>
    <row r="121">
      <c r="A121" t="inlineStr">
        <is>
          <t>UNM</t>
        </is>
      </c>
      <c r="H121" t="inlineStr">
        <is>
          <t>ASU</t>
        </is>
      </c>
      <c r="J121">
        <f>IF($H121="","",IF(SUMPRODUCT(--(LOWER(TRIM($H$6:$H$481))=LOWER(TRIM($H121))),--($I$6:$I$481&lt;&gt;$I121))&gt;0,"AMBIGUOUS — MAPS TO MULTIPLE TEAMS",IF(COUNTIF($H$6:$H$481,$H121)&gt;1,"DUPLICATE x"&amp;COUNTIF($H$6:$H$481,$H121)&amp;" -&gt; "&amp;$I121,"")))</f>
        <v/>
      </c>
      <c r="K121" t="inlineStr">
        <is>
          <t>STAN</t>
        </is>
      </c>
    </row>
    <row r="122">
      <c r="A122" t="inlineStr">
        <is>
          <t>NDSU</t>
        </is>
      </c>
      <c r="H122" t="inlineStr">
        <is>
          <t>Sun Devils</t>
        </is>
      </c>
      <c r="J122">
        <f>IF($H122="","",IF(SUMPRODUCT(--(LOWER(TRIM($H$6:$H$481))=LOWER(TRIM($H122))),--($I$6:$I$481&lt;&gt;$I122))&gt;0,"AMBIGUOUS — MAPS TO MULTIPLE TEAMS",IF(COUNTIF($H$6:$H$481,$H122)&gt;1,"DUPLICATE x"&amp;COUNTIF($H$6:$H$481,$H122)&amp;" -&gt; "&amp;$I122,"")))</f>
        <v/>
      </c>
      <c r="K122" t="inlineStr">
        <is>
          <t>Syracuse</t>
        </is>
      </c>
    </row>
    <row r="123">
      <c r="A123" t="inlineStr">
        <is>
          <t>NIU</t>
        </is>
      </c>
      <c r="H123" t="inlineStr">
        <is>
          <t>BAY</t>
        </is>
      </c>
      <c r="J123">
        <f>IF($H123="","",IF(SUMPRODUCT(--(LOWER(TRIM($H$6:$H$481))=LOWER(TRIM($H123))),--($I$6:$I$481&lt;&gt;$I123))&gt;0,"AMBIGUOUS — MAPS TO MULTIPLE TEAMS",IF(COUNTIF($H$6:$H$481,$H123)&gt;1,"DUPLICATE x"&amp;COUNTIF($H$6:$H$481,$H123)&amp;" -&gt; "&amp;$I123,"")))</f>
        <v/>
      </c>
      <c r="K123" t="inlineStr">
        <is>
          <t>SYR</t>
        </is>
      </c>
    </row>
    <row r="124">
      <c r="A124" t="inlineStr">
        <is>
          <t>SJSU</t>
        </is>
      </c>
      <c r="H124" t="inlineStr">
        <is>
          <t>Baylor</t>
        </is>
      </c>
      <c r="J124">
        <f>IF($H124="","",IF(SUMPRODUCT(--(LOWER(TRIM($H$6:$H$481))=LOWER(TRIM($H124))),--($I$6:$I$481&lt;&gt;$I124))&gt;0,"AMBIGUOUS — MAPS TO MULTIPLE TEAMS",IF(COUNTIF($H$6:$H$481,$H124)&gt;1,"DUPLICATE x"&amp;COUNTIF($H$6:$H$481,$H124)&amp;" -&gt; "&amp;$I124,"")))</f>
        <v/>
      </c>
      <c r="K124" t="inlineStr">
        <is>
          <t>Virginia</t>
        </is>
      </c>
    </row>
    <row r="125">
      <c r="A125" t="inlineStr">
        <is>
          <t>UNLV</t>
        </is>
      </c>
      <c r="H125" t="inlineStr">
        <is>
          <t>Bears-BAY</t>
        </is>
      </c>
      <c r="J125">
        <f>IF($H125="","",IF(SUMPRODUCT(--(LOWER(TRIM($H$6:$H$481))=LOWER(TRIM($H125))),--($I$6:$I$481&lt;&gt;$I125))&gt;0,"AMBIGUOUS — MAPS TO MULTIPLE TEAMS",IF(COUNTIF($H$6:$H$481,$H125)&gt;1,"DUPLICATE x"&amp;COUNTIF($H$6:$H$481,$H125)&amp;" -&gt; "&amp;$I125,"")))</f>
        <v/>
      </c>
      <c r="K125" t="inlineStr">
        <is>
          <t>UVA</t>
        </is>
      </c>
    </row>
    <row r="126">
      <c r="A126" t="inlineStr">
        <is>
          <t>UTEP</t>
        </is>
      </c>
      <c r="H126" t="inlineStr">
        <is>
          <t>BYU</t>
        </is>
      </c>
      <c r="J126">
        <f>IF($H126="","",IF(SUMPRODUCT(--(LOWER(TRIM($H$6:$H$481))=LOWER(TRIM($H126))),--($I$6:$I$481&lt;&gt;$I126))&gt;0,"AMBIGUOUS — MAPS TO MULTIPLE TEAMS",IF(COUNTIF($H$6:$H$481,$H126)&gt;1,"DUPLICATE x"&amp;COUNTIF($H$6:$H$481,$H126)&amp;" -&gt; "&amp;$I126,"")))</f>
        <v/>
      </c>
      <c r="K126" t="inlineStr">
        <is>
          <t>Virginia Tech</t>
        </is>
      </c>
    </row>
    <row r="127">
      <c r="A127" t="inlineStr">
        <is>
          <t>WYO</t>
        </is>
      </c>
      <c r="H127" t="inlineStr">
        <is>
          <t>Brigham Young</t>
        </is>
      </c>
      <c r="J127">
        <f>IF($H127="","",IF(SUMPRODUCT(--(LOWER(TRIM($H$6:$H$481))=LOWER(TRIM($H127))),--($I$6:$I$481&lt;&gt;$I127))&gt;0,"AMBIGUOUS — MAPS TO MULTIPLE TEAMS",IF(COUNTIF($H$6:$H$481,$H127)&gt;1,"DUPLICATE x"&amp;COUNTIF($H$6:$H$481,$H127)&amp;" -&gt; "&amp;$I127,"")))</f>
        <v/>
      </c>
      <c r="K127" t="inlineStr">
        <is>
          <t>VT</t>
        </is>
      </c>
    </row>
    <row r="128">
      <c r="A128" t="inlineStr">
        <is>
          <t>APP</t>
        </is>
      </c>
      <c r="H128" t="inlineStr">
        <is>
          <t>CIN</t>
        </is>
      </c>
      <c r="J128">
        <f>IF($H128="","",IF(SUMPRODUCT(--(LOWER(TRIM($H$6:$H$481))=LOWER(TRIM($H128))),--($I$6:$I$481&lt;&gt;$I128))&gt;0,"AMBIGUOUS — MAPS TO MULTIPLE TEAMS",IF(COUNTIF($H$6:$H$481,$H128)&gt;1,"DUPLICATE x"&amp;COUNTIF($H$6:$H$481,$H128)&amp;" -&gt; "&amp;$I128,"")))</f>
        <v/>
      </c>
      <c r="K128" t="inlineStr">
        <is>
          <t>Wake Forest</t>
        </is>
      </c>
    </row>
    <row r="129">
      <c r="A129" t="inlineStr">
        <is>
          <t>ARST</t>
        </is>
      </c>
      <c r="H129" t="inlineStr">
        <is>
          <t>Cincinnati</t>
        </is>
      </c>
      <c r="J129">
        <f>IF($H129="","",IF(SUMPRODUCT(--(LOWER(TRIM($H$6:$H$481))=LOWER(TRIM($H129))),--($I$6:$I$481&lt;&gt;$I129))&gt;0,"AMBIGUOUS — MAPS TO MULTIPLE TEAMS",IF(COUNTIF($H$6:$H$481,$H129)&gt;1,"DUPLICATE x"&amp;COUNTIF($H$6:$H$481,$H129)&amp;" -&gt; "&amp;$I129,"")))</f>
        <v/>
      </c>
      <c r="K129" t="inlineStr">
        <is>
          <t>WAKE</t>
        </is>
      </c>
    </row>
    <row r="130">
      <c r="A130" t="inlineStr">
        <is>
          <t>CCU</t>
        </is>
      </c>
      <c r="H130" t="inlineStr">
        <is>
          <t>UC</t>
        </is>
      </c>
      <c r="J130">
        <f>IF($H130="","",IF(SUMPRODUCT(--(LOWER(TRIM($H$6:$H$481))=LOWER(TRIM($H130))),--($I$6:$I$481&lt;&gt;$I130))&gt;0,"AMBIGUOUS — MAPS TO MULTIPLE TEAMS",IF(COUNTIF($H$6:$H$481,$H130)&gt;1,"DUPLICATE x"&amp;COUNTIF($H$6:$H$481,$H130)&amp;" -&gt; "&amp;$I130,"")))</f>
        <v/>
      </c>
      <c r="K130" t="inlineStr">
        <is>
          <t>Boise State</t>
        </is>
      </c>
    </row>
    <row r="131">
      <c r="A131" t="inlineStr">
        <is>
          <t>GASO</t>
        </is>
      </c>
      <c r="H131" t="inlineStr">
        <is>
          <t>Bearcats</t>
        </is>
      </c>
      <c r="J131">
        <f>IF($H131="","",IF(SUMPRODUCT(--(LOWER(TRIM($H$6:$H$481))=LOWER(TRIM($H131))),--($I$6:$I$481&lt;&gt;$I131))&gt;0,"AMBIGUOUS — MAPS TO MULTIPLE TEAMS",IF(COUNTIF($H$6:$H$481,$H131)&gt;1,"DUPLICATE x"&amp;COUNTIF($H$6:$H$481,$H131)&amp;" -&gt; "&amp;$I131,"")))</f>
        <v/>
      </c>
      <c r="K131" t="inlineStr">
        <is>
          <t>BSU</t>
        </is>
      </c>
    </row>
    <row r="132">
      <c r="A132" t="inlineStr">
        <is>
          <t>GAST</t>
        </is>
      </c>
      <c r="H132" t="inlineStr">
        <is>
          <t>COLO</t>
        </is>
      </c>
      <c r="J132">
        <f>IF($H132="","",IF(SUMPRODUCT(--(LOWER(TRIM($H$6:$H$481))=LOWER(TRIM($H132))),--($I$6:$I$481&lt;&gt;$I132))&gt;0,"AMBIGUOUS — MAPS TO MULTIPLE TEAMS",IF(COUNTIF($H$6:$H$481,$H132)&gt;1,"DUPLICATE x"&amp;COUNTIF($H$6:$H$481,$H132)&amp;" -&gt; "&amp;$I132,"")))</f>
        <v/>
      </c>
      <c r="K132" t="inlineStr">
        <is>
          <t>Colorado State</t>
        </is>
      </c>
    </row>
    <row r="133">
      <c r="A133" t="inlineStr">
        <is>
          <t>JMU</t>
        </is>
      </c>
      <c r="H133" t="inlineStr">
        <is>
          <t>Colorado</t>
        </is>
      </c>
      <c r="J133">
        <f>IF($H133="","",IF(SUMPRODUCT(--(LOWER(TRIM($H$6:$H$481))=LOWER(TRIM($H133))),--($I$6:$I$481&lt;&gt;$I133))&gt;0,"AMBIGUOUS — MAPS TO MULTIPLE TEAMS",IF(COUNTIF($H$6:$H$481,$H133)&gt;1,"DUPLICATE x"&amp;COUNTIF($H$6:$H$481,$H133)&amp;" -&gt; "&amp;$I133,"")))</f>
        <v/>
      </c>
      <c r="K133" t="inlineStr">
        <is>
          <t>CSU</t>
        </is>
      </c>
    </row>
    <row r="134">
      <c r="A134" t="inlineStr">
        <is>
          <t>ULL</t>
        </is>
      </c>
      <c r="H134" t="inlineStr">
        <is>
          <t>CU</t>
        </is>
      </c>
      <c r="J134">
        <f>IF($H134="","",IF(SUMPRODUCT(--(LOWER(TRIM($H$6:$H$481))=LOWER(TRIM($H134))),--($I$6:$I$481&lt;&gt;$I134))&gt;0,"AMBIGUOUS — MAPS TO MULTIPLE TEAMS",IF(COUNTIF($H$6:$H$481,$H134)&gt;1,"DUPLICATE x"&amp;COUNTIF($H$6:$H$481,$H134)&amp;" -&gt; "&amp;$I134,"")))</f>
        <v/>
      </c>
      <c r="K134" t="inlineStr">
        <is>
          <t>Fresno State</t>
        </is>
      </c>
    </row>
    <row r="135">
      <c r="A135" t="inlineStr">
        <is>
          <t>LT</t>
        </is>
      </c>
      <c r="H135" t="inlineStr">
        <is>
          <t>Buffs</t>
        </is>
      </c>
      <c r="J135">
        <f>IF($H135="","",IF(SUMPRODUCT(--(LOWER(TRIM($H$6:$H$481))=LOWER(TRIM($H135))),--($I$6:$I$481&lt;&gt;$I135))&gt;0,"AMBIGUOUS — MAPS TO MULTIPLE TEAMS",IF(COUNTIF($H$6:$H$481,$H135)&gt;1,"DUPLICATE x"&amp;COUNTIF($H$6:$H$481,$H135)&amp;" -&gt; "&amp;$I135,"")))</f>
        <v/>
      </c>
      <c r="K135" t="inlineStr">
        <is>
          <t>FRES</t>
        </is>
      </c>
    </row>
    <row r="136">
      <c r="A136" t="inlineStr">
        <is>
          <t>MRSH</t>
        </is>
      </c>
      <c r="H136" t="inlineStr">
        <is>
          <t>HOU</t>
        </is>
      </c>
      <c r="J136">
        <f>IF($H136="","",IF(SUMPRODUCT(--(LOWER(TRIM($H$6:$H$481))=LOWER(TRIM($H136))),--($I$6:$I$481&lt;&gt;$I136))&gt;0,"AMBIGUOUS — MAPS TO MULTIPLE TEAMS",IF(COUNTIF($H$6:$H$481,$H136)&gt;1,"DUPLICATE x"&amp;COUNTIF($H$6:$H$481,$H136)&amp;" -&gt; "&amp;$I136,"")))</f>
        <v/>
      </c>
      <c r="K136" t="inlineStr">
        <is>
          <t>Oregon State</t>
        </is>
      </c>
    </row>
    <row r="137">
      <c r="A137" t="inlineStr">
        <is>
          <t>ODU</t>
        </is>
      </c>
      <c r="H137" t="inlineStr">
        <is>
          <t>Houston</t>
        </is>
      </c>
      <c r="J137">
        <f>IF($H137="","",IF(SUMPRODUCT(--(LOWER(TRIM($H$6:$H$481))=LOWER(TRIM($H137))),--($I$6:$I$481&lt;&gt;$I137))&gt;0,"AMBIGUOUS — MAPS TO MULTIPLE TEAMS",IF(COUNTIF($H$6:$H$481,$H137)&gt;1,"DUPLICATE x"&amp;COUNTIF($H$6:$H$481,$H137)&amp;" -&gt; "&amp;$I137,"")))</f>
        <v/>
      </c>
      <c r="K137" t="inlineStr">
        <is>
          <t>ORST</t>
        </is>
      </c>
    </row>
    <row r="138">
      <c r="A138" t="inlineStr">
        <is>
          <t>USA</t>
        </is>
      </c>
      <c r="H138" t="inlineStr">
        <is>
          <t>UH</t>
        </is>
      </c>
      <c r="J138">
        <f>IF($H138="","",IF(SUMPRODUCT(--(LOWER(TRIM($H$6:$H$481))=LOWER(TRIM($H138))),--($I$6:$I$481&lt;&gt;$I138))&gt;0,"AMBIGUOUS — MAPS TO MULTIPLE TEAMS",IF(COUNTIF($H$6:$H$481,$H138)&gt;1,"DUPLICATE x"&amp;COUNTIF($H$6:$H$481,$H138)&amp;" -&gt; "&amp;$I138,"")))</f>
        <v/>
      </c>
      <c r="K138" t="inlineStr">
        <is>
          <t>San Diego State</t>
        </is>
      </c>
    </row>
    <row r="139">
      <c r="A139" t="inlineStr">
        <is>
          <t>USM</t>
        </is>
      </c>
      <c r="H139" t="inlineStr">
        <is>
          <t>Cougars-HOU</t>
        </is>
      </c>
      <c r="J139">
        <f>IF($H139="","",IF(SUMPRODUCT(--(LOWER(TRIM($H$6:$H$481))=LOWER(TRIM($H139))),--($I$6:$I$481&lt;&gt;$I139))&gt;0,"AMBIGUOUS — MAPS TO MULTIPLE TEAMS",IF(COUNTIF($H$6:$H$481,$H139)&gt;1,"DUPLICATE x"&amp;COUNTIF($H$6:$H$481,$H139)&amp;" -&gt; "&amp;$I139,"")))</f>
        <v/>
      </c>
      <c r="K139" t="inlineStr">
        <is>
          <t>SDSU</t>
        </is>
      </c>
    </row>
    <row r="140">
      <c r="A140" t="inlineStr">
        <is>
          <t>TROY</t>
        </is>
      </c>
      <c r="H140" t="inlineStr">
        <is>
          <t>ISU</t>
        </is>
      </c>
      <c r="J140">
        <f>IF($H140="","",IF(SUMPRODUCT(--(LOWER(TRIM($H$6:$H$481))=LOWER(TRIM($H140))),--($I$6:$I$481&lt;&gt;$I140))&gt;0,"AMBIGUOUS — MAPS TO MULTIPLE TEAMS",IF(COUNTIF($H$6:$H$481,$H140)&gt;1,"DUPLICATE x"&amp;COUNTIF($H$6:$H$481,$H140)&amp;" -&gt; "&amp;$I140,"")))</f>
        <v/>
      </c>
      <c r="K140" t="inlineStr">
        <is>
          <t>Texas State</t>
        </is>
      </c>
    </row>
    <row r="141">
      <c r="A141" t="inlineStr">
        <is>
          <t>ULM</t>
        </is>
      </c>
      <c r="H141" t="inlineStr">
        <is>
          <t>Iowa State</t>
        </is>
      </c>
      <c r="J141">
        <f>IF($H141="","",IF(SUMPRODUCT(--(LOWER(TRIM($H$6:$H$481))=LOWER(TRIM($H141))),--($I$6:$I$481&lt;&gt;$I141))&gt;0,"AMBIGUOUS — MAPS TO MULTIPLE TEAMS",IF(COUNTIF($H$6:$H$481,$H141)&gt;1,"DUPLICATE x"&amp;COUNTIF($H$6:$H$481,$H141)&amp;" -&gt; "&amp;$I141,"")))</f>
        <v/>
      </c>
      <c r="K141" t="inlineStr">
        <is>
          <t>TXST</t>
        </is>
      </c>
    </row>
    <row r="142">
      <c r="A142" t="inlineStr">
        <is>
          <t>ND</t>
        </is>
      </c>
      <c r="H142" t="inlineStr">
        <is>
          <t>Cyclones</t>
        </is>
      </c>
      <c r="J142">
        <f>IF($H142="","",IF(SUMPRODUCT(--(LOWER(TRIM($H$6:$H$481))=LOWER(TRIM($H142))),--($I$6:$I$481&lt;&gt;$I142))&gt;0,"AMBIGUOUS — MAPS TO MULTIPLE TEAMS",IF(COUNTIF($H$6:$H$481,$H142)&gt;1,"DUPLICATE x"&amp;COUNTIF($H$6:$H$481,$H142)&amp;" -&gt; "&amp;$I142,"")))</f>
        <v/>
      </c>
      <c r="K142" t="inlineStr">
        <is>
          <t>Utah State</t>
        </is>
      </c>
    </row>
    <row r="143">
      <c r="A143" t="inlineStr">
        <is>
          <t>CONN</t>
        </is>
      </c>
      <c r="H143" t="inlineStr">
        <is>
          <t>KAN</t>
        </is>
      </c>
      <c r="J143">
        <f>IF($H143="","",IF(SUMPRODUCT(--(LOWER(TRIM($H$6:$H$481))=LOWER(TRIM($H143))),--($I$6:$I$481&lt;&gt;$I143))&gt;0,"AMBIGUOUS — MAPS TO MULTIPLE TEAMS",IF(COUNTIF($H$6:$H$481,$H143)&gt;1,"DUPLICATE x"&amp;COUNTIF($H$6:$H$481,$H143)&amp;" -&gt; "&amp;$I143,"")))</f>
        <v/>
      </c>
      <c r="K143" t="inlineStr">
        <is>
          <t>USU</t>
        </is>
      </c>
    </row>
    <row r="144">
      <c r="H144" t="inlineStr">
        <is>
          <t>Kansas</t>
        </is>
      </c>
      <c r="J144">
        <f>IF($H144="","",IF(SUMPRODUCT(--(LOWER(TRIM($H$6:$H$481))=LOWER(TRIM($H144))),--($I$6:$I$481&lt;&gt;$I144))&gt;0,"AMBIGUOUS — MAPS TO MULTIPLE TEAMS",IF(COUNTIF($H$6:$H$481,$H144)&gt;1,"DUPLICATE x"&amp;COUNTIF($H$6:$H$481,$H144)&amp;" -&gt; "&amp;$I144,"")))</f>
        <v/>
      </c>
      <c r="K144" t="inlineStr">
        <is>
          <t>Washington State</t>
        </is>
      </c>
    </row>
    <row r="145">
      <c r="H145" t="inlineStr">
        <is>
          <t>KU</t>
        </is>
      </c>
      <c r="J145">
        <f>IF($H145="","",IF(SUMPRODUCT(--(LOWER(TRIM($H$6:$H$481))=LOWER(TRIM($H145))),--($I$6:$I$481&lt;&gt;$I145))&gt;0,"AMBIGUOUS — MAPS TO MULTIPLE TEAMS",IF(COUNTIF($H$6:$H$481,$H145)&gt;1,"DUPLICATE x"&amp;COUNTIF($H$6:$H$481,$H145)&amp;" -&gt; "&amp;$I145,"")))</f>
        <v/>
      </c>
      <c r="K145" t="inlineStr">
        <is>
          <t>WSU</t>
        </is>
      </c>
    </row>
    <row r="146">
      <c r="H146" t="inlineStr">
        <is>
          <t>Jayhawks</t>
        </is>
      </c>
      <c r="J146">
        <f>IF($H146="","",IF(SUMPRODUCT(--(LOWER(TRIM($H$6:$H$481))=LOWER(TRIM($H146))),--($I$6:$I$481&lt;&gt;$I146))&gt;0,"AMBIGUOUS — MAPS TO MULTIPLE TEAMS",IF(COUNTIF($H$6:$H$481,$H146)&gt;1,"DUPLICATE x"&amp;COUNTIF($H$6:$H$481,$H146)&amp;" -&gt; "&amp;$I146,"")))</f>
        <v/>
      </c>
      <c r="K146" t="inlineStr">
        <is>
          <t>Army</t>
        </is>
      </c>
    </row>
    <row r="147">
      <c r="H147" t="inlineStr">
        <is>
          <t>KSU</t>
        </is>
      </c>
      <c r="J147">
        <f>IF($H147="","",IF(SUMPRODUCT(--(LOWER(TRIM($H$6:$H$481))=LOWER(TRIM($H147))),--($I$6:$I$481&lt;&gt;$I147))&gt;0,"AMBIGUOUS — MAPS TO MULTIPLE TEAMS",IF(COUNTIF($H$6:$H$481,$H147)&gt;1,"DUPLICATE x"&amp;COUNTIF($H$6:$H$481,$H147)&amp;" -&gt; "&amp;$I147,"")))</f>
        <v/>
      </c>
      <c r="K147" t="inlineStr">
        <is>
          <t>Charlotte</t>
        </is>
      </c>
    </row>
    <row r="148">
      <c r="H148" t="inlineStr">
        <is>
          <t>Kansas State</t>
        </is>
      </c>
      <c r="J148">
        <f>IF($H148="","",IF(SUMPRODUCT(--(LOWER(TRIM($H$6:$H$481))=LOWER(TRIM($H148))),--($I$6:$I$481&lt;&gt;$I148))&gt;0,"AMBIGUOUS — MAPS TO MULTIPLE TEAMS",IF(COUNTIF($H$6:$H$481,$H148)&gt;1,"DUPLICATE x"&amp;COUNTIF($H$6:$H$481,$H148)&amp;" -&gt; "&amp;$I148,"")))</f>
        <v/>
      </c>
      <c r="K148" t="inlineStr">
        <is>
          <t>CLT</t>
        </is>
      </c>
    </row>
    <row r="149">
      <c r="H149" t="inlineStr">
        <is>
          <t>K-State</t>
        </is>
      </c>
      <c r="J149">
        <f>IF($H149="","",IF(SUMPRODUCT(--(LOWER(TRIM($H$6:$H$481))=LOWER(TRIM($H149))),--($I$6:$I$481&lt;&gt;$I149))&gt;0,"AMBIGUOUS — MAPS TO MULTIPLE TEAMS",IF(COUNTIF($H$6:$H$481,$H149)&gt;1,"DUPLICATE x"&amp;COUNTIF($H$6:$H$481,$H149)&amp;" -&gt; "&amp;$I149,"")))</f>
        <v/>
      </c>
      <c r="K149" t="inlineStr">
        <is>
          <t>East Carolina</t>
        </is>
      </c>
    </row>
    <row r="150">
      <c r="H150" t="inlineStr">
        <is>
          <t>OKST</t>
        </is>
      </c>
      <c r="J150">
        <f>IF($H150="","",IF(SUMPRODUCT(--(LOWER(TRIM($H$6:$H$481))=LOWER(TRIM($H150))),--($I$6:$I$481&lt;&gt;$I150))&gt;0,"AMBIGUOUS — MAPS TO MULTIPLE TEAMS",IF(COUNTIF($H$6:$H$481,$H150)&gt;1,"DUPLICATE x"&amp;COUNTIF($H$6:$H$481,$H150)&amp;" -&gt; "&amp;$I150,"")))</f>
        <v/>
      </c>
      <c r="K150" t="inlineStr">
        <is>
          <t>ECU</t>
        </is>
      </c>
    </row>
    <row r="151">
      <c r="H151" t="inlineStr">
        <is>
          <t>Oklahoma State</t>
        </is>
      </c>
      <c r="J151">
        <f>IF($H151="","",IF(SUMPRODUCT(--(LOWER(TRIM($H$6:$H$481))=LOWER(TRIM($H151))),--($I$6:$I$481&lt;&gt;$I151))&gt;0,"AMBIGUOUS — MAPS TO MULTIPLE TEAMS",IF(COUNTIF($H$6:$H$481,$H151)&gt;1,"DUPLICATE x"&amp;COUNTIF($H$6:$H$481,$H151)&amp;" -&gt; "&amp;$I151,"")))</f>
        <v/>
      </c>
      <c r="K151" t="inlineStr">
        <is>
          <t>Florida Atlantic</t>
        </is>
      </c>
    </row>
    <row r="152">
      <c r="H152" t="inlineStr">
        <is>
          <t>Ok State</t>
        </is>
      </c>
      <c r="J152">
        <f>IF($H152="","",IF(SUMPRODUCT(--(LOWER(TRIM($H$6:$H$481))=LOWER(TRIM($H152))),--($I$6:$I$481&lt;&gt;$I152))&gt;0,"AMBIGUOUS — MAPS TO MULTIPLE TEAMS",IF(COUNTIF($H$6:$H$481,$H152)&gt;1,"DUPLICATE x"&amp;COUNTIF($H$6:$H$481,$H152)&amp;" -&gt; "&amp;$I152,"")))</f>
        <v/>
      </c>
      <c r="K152" t="inlineStr">
        <is>
          <t>FAU</t>
        </is>
      </c>
    </row>
    <row r="153">
      <c r="H153" t="inlineStr">
        <is>
          <t>Pokes</t>
        </is>
      </c>
      <c r="J153">
        <f>IF($H153="","",IF(SUMPRODUCT(--(LOWER(TRIM($H$6:$H$481))=LOWER(TRIM($H153))),--($I$6:$I$481&lt;&gt;$I153))&gt;0,"AMBIGUOUS — MAPS TO MULTIPLE TEAMS",IF(COUNTIF($H$6:$H$481,$H153)&gt;1,"DUPLICATE x"&amp;COUNTIF($H$6:$H$481,$H153)&amp;" -&gt; "&amp;$I153,"")))</f>
        <v/>
      </c>
      <c r="K153" t="inlineStr">
        <is>
          <t>Memphis</t>
        </is>
      </c>
    </row>
    <row r="154">
      <c r="H154" t="inlineStr">
        <is>
          <t>TCU</t>
        </is>
      </c>
      <c r="J154">
        <f>IF($H154="","",IF(SUMPRODUCT(--(LOWER(TRIM($H$6:$H$481))=LOWER(TRIM($H154))),--($I$6:$I$481&lt;&gt;$I154))&gt;0,"AMBIGUOUS — MAPS TO MULTIPLE TEAMS",IF(COUNTIF($H$6:$H$481,$H154)&gt;1,"DUPLICATE x"&amp;COUNTIF($H$6:$H$481,$H154)&amp;" -&gt; "&amp;$I154,"")))</f>
        <v/>
      </c>
      <c r="K154" t="inlineStr">
        <is>
          <t>MEM</t>
        </is>
      </c>
    </row>
    <row r="155">
      <c r="H155" t="inlineStr">
        <is>
          <t>Horned Frogs</t>
        </is>
      </c>
      <c r="J155">
        <f>IF($H155="","",IF(SUMPRODUCT(--(LOWER(TRIM($H$6:$H$481))=LOWER(TRIM($H155))),--($I$6:$I$481&lt;&gt;$I155))&gt;0,"AMBIGUOUS — MAPS TO MULTIPLE TEAMS",IF(COUNTIF($H$6:$H$481,$H155)&gt;1,"DUPLICATE x"&amp;COUNTIF($H$6:$H$481,$H155)&amp;" -&gt; "&amp;$I155,"")))</f>
        <v/>
      </c>
      <c r="K155" t="inlineStr">
        <is>
          <t>Navy</t>
        </is>
      </c>
    </row>
    <row r="156">
      <c r="H156" t="inlineStr">
        <is>
          <t>TTU</t>
        </is>
      </c>
      <c r="J156">
        <f>IF($H156="","",IF(SUMPRODUCT(--(LOWER(TRIM($H$6:$H$481))=LOWER(TRIM($H156))),--($I$6:$I$481&lt;&gt;$I156))&gt;0,"AMBIGUOUS — MAPS TO MULTIPLE TEAMS",IF(COUNTIF($H$6:$H$481,$H156)&gt;1,"DUPLICATE x"&amp;COUNTIF($H$6:$H$481,$H156)&amp;" -&gt; "&amp;$I156,"")))</f>
        <v/>
      </c>
      <c r="K156" t="inlineStr">
        <is>
          <t>North Texas</t>
        </is>
      </c>
    </row>
    <row r="157">
      <c r="H157" t="inlineStr">
        <is>
          <t>Texas Tech</t>
        </is>
      </c>
      <c r="J157">
        <f>IF($H157="","",IF(SUMPRODUCT(--(LOWER(TRIM($H$6:$H$481))=LOWER(TRIM($H157))),--($I$6:$I$481&lt;&gt;$I157))&gt;0,"AMBIGUOUS — MAPS TO MULTIPLE TEAMS",IF(COUNTIF($H$6:$H$481,$H157)&gt;1,"DUPLICATE x"&amp;COUNTIF($H$6:$H$481,$H157)&amp;" -&gt; "&amp;$I157,"")))</f>
        <v/>
      </c>
      <c r="K157" t="inlineStr">
        <is>
          <t>UNT</t>
        </is>
      </c>
    </row>
    <row r="158">
      <c r="H158" t="inlineStr">
        <is>
          <t>Tech-TX</t>
        </is>
      </c>
      <c r="J158">
        <f>IF($H158="","",IF(SUMPRODUCT(--(LOWER(TRIM($H$6:$H$481))=LOWER(TRIM($H158))),--($I$6:$I$481&lt;&gt;$I158))&gt;0,"AMBIGUOUS — MAPS TO MULTIPLE TEAMS",IF(COUNTIF($H$6:$H$481,$H158)&gt;1,"DUPLICATE x"&amp;COUNTIF($H$6:$H$481,$H158)&amp;" -&gt; "&amp;$I158,"")))</f>
        <v/>
      </c>
      <c r="K158" t="inlineStr">
        <is>
          <t>Rice</t>
        </is>
      </c>
    </row>
    <row r="159">
      <c r="H159" t="inlineStr">
        <is>
          <t>Red Raiders</t>
        </is>
      </c>
      <c r="J159">
        <f>IF($H159="","",IF(SUMPRODUCT(--(LOWER(TRIM($H$6:$H$481))=LOWER(TRIM($H159))),--($I$6:$I$481&lt;&gt;$I159))&gt;0,"AMBIGUOUS — MAPS TO MULTIPLE TEAMS",IF(COUNTIF($H$6:$H$481,$H159)&gt;1,"DUPLICATE x"&amp;COUNTIF($H$6:$H$481,$H159)&amp;" -&gt; "&amp;$I159,"")))</f>
        <v/>
      </c>
      <c r="K159" t="inlineStr">
        <is>
          <t>South Florida</t>
        </is>
      </c>
    </row>
    <row r="160">
      <c r="H160" t="inlineStr">
        <is>
          <t>UCF</t>
        </is>
      </c>
      <c r="J160">
        <f>IF($H160="","",IF(SUMPRODUCT(--(LOWER(TRIM($H$6:$H$481))=LOWER(TRIM($H160))),--($I$6:$I$481&lt;&gt;$I160))&gt;0,"AMBIGUOUS — MAPS TO MULTIPLE TEAMS",IF(COUNTIF($H$6:$H$481,$H160)&gt;1,"DUPLICATE x"&amp;COUNTIF($H$6:$H$481,$H160)&amp;" -&gt; "&amp;$I160,"")))</f>
        <v/>
      </c>
      <c r="K160" t="inlineStr">
        <is>
          <t>USF</t>
        </is>
      </c>
    </row>
    <row r="161">
      <c r="H161" t="inlineStr">
        <is>
          <t>Central Florida</t>
        </is>
      </c>
      <c r="J161">
        <f>IF($H161="","",IF(SUMPRODUCT(--(LOWER(TRIM($H$6:$H$481))=LOWER(TRIM($H161))),--($I$6:$I$481&lt;&gt;$I161))&gt;0,"AMBIGUOUS — MAPS TO MULTIPLE TEAMS",IF(COUNTIF($H$6:$H$481,$H161)&gt;1,"DUPLICATE x"&amp;COUNTIF($H$6:$H$481,$H161)&amp;" -&gt; "&amp;$I161,"")))</f>
        <v/>
      </c>
      <c r="K161" t="inlineStr">
        <is>
          <t>Temple</t>
        </is>
      </c>
    </row>
    <row r="162">
      <c r="H162" t="inlineStr">
        <is>
          <t>UTAH</t>
        </is>
      </c>
      <c r="J162">
        <f>IF($H162="","",IF(SUMPRODUCT(--(LOWER(TRIM($H$6:$H$481))=LOWER(TRIM($H162))),--($I$6:$I$481&lt;&gt;$I162))&gt;0,"AMBIGUOUS — MAPS TO MULTIPLE TEAMS",IF(COUNTIF($H$6:$H$481,$H162)&gt;1,"DUPLICATE x"&amp;COUNTIF($H$6:$H$481,$H162)&amp;" -&gt; "&amp;$I162,"")))</f>
        <v/>
      </c>
      <c r="K162" t="inlineStr">
        <is>
          <t>TEM</t>
        </is>
      </c>
    </row>
    <row r="163">
      <c r="H163" t="inlineStr">
        <is>
          <t>Utes</t>
        </is>
      </c>
      <c r="J163">
        <f>IF($H163="","",IF(SUMPRODUCT(--(LOWER(TRIM($H$6:$H$481))=LOWER(TRIM($H163))),--($I$6:$I$481&lt;&gt;$I163))&gt;0,"AMBIGUOUS — MAPS TO MULTIPLE TEAMS",IF(COUNTIF($H$6:$H$481,$H163)&gt;1,"DUPLICATE x"&amp;COUNTIF($H$6:$H$481,$H163)&amp;" -&gt; "&amp;$I163,"")))</f>
        <v/>
      </c>
      <c r="K163" t="inlineStr">
        <is>
          <t>Tulane</t>
        </is>
      </c>
    </row>
    <row r="164">
      <c r="H164" t="inlineStr">
        <is>
          <t>WVU</t>
        </is>
      </c>
      <c r="J164">
        <f>IF($H164="","",IF(SUMPRODUCT(--(LOWER(TRIM($H$6:$H$481))=LOWER(TRIM($H164))),--($I$6:$I$481&lt;&gt;$I164))&gt;0,"AMBIGUOUS — MAPS TO MULTIPLE TEAMS",IF(COUNTIF($H$6:$H$481,$H164)&gt;1,"DUPLICATE x"&amp;COUNTIF($H$6:$H$481,$H164)&amp;" -&gt; "&amp;$I164,"")))</f>
        <v/>
      </c>
      <c r="K164" t="inlineStr">
        <is>
          <t>TULN</t>
        </is>
      </c>
    </row>
    <row r="165">
      <c r="H165" t="inlineStr">
        <is>
          <t>West Virginia</t>
        </is>
      </c>
      <c r="J165">
        <f>IF($H165="","",IF(SUMPRODUCT(--(LOWER(TRIM($H$6:$H$481))=LOWER(TRIM($H165))),--($I$6:$I$481&lt;&gt;$I165))&gt;0,"AMBIGUOUS — MAPS TO MULTIPLE TEAMS",IF(COUNTIF($H$6:$H$481,$H165)&gt;1,"DUPLICATE x"&amp;COUNTIF($H$6:$H$481,$H165)&amp;" -&gt; "&amp;$I165,"")))</f>
        <v/>
      </c>
      <c r="K165" t="inlineStr">
        <is>
          <t>Tulsa</t>
        </is>
      </c>
    </row>
    <row r="166">
      <c r="H166" t="inlineStr">
        <is>
          <t>Mountaineers</t>
        </is>
      </c>
      <c r="J166">
        <f>IF($H166="","",IF(SUMPRODUCT(--(LOWER(TRIM($H$6:$H$481))=LOWER(TRIM($H166))),--($I$6:$I$481&lt;&gt;$I166))&gt;0,"AMBIGUOUS — MAPS TO MULTIPLE TEAMS",IF(COUNTIF($H$6:$H$481,$H166)&gt;1,"DUPLICATE x"&amp;COUNTIF($H$6:$H$481,$H166)&amp;" -&gt; "&amp;$I166,"")))</f>
        <v/>
      </c>
      <c r="K166" t="inlineStr">
        <is>
          <t>TLSA</t>
        </is>
      </c>
    </row>
    <row r="167">
      <c r="H167" t="inlineStr">
        <is>
          <t>BC</t>
        </is>
      </c>
      <c r="J167">
        <f>IF($H167="","",IF(SUMPRODUCT(--(LOWER(TRIM($H$6:$H$481))=LOWER(TRIM($H167))),--($I$6:$I$481&lt;&gt;$I167))&gt;0,"AMBIGUOUS — MAPS TO MULTIPLE TEAMS",IF(COUNTIF($H$6:$H$481,$H167)&gt;1,"DUPLICATE x"&amp;COUNTIF($H$6:$H$481,$H167)&amp;" -&gt; "&amp;$I167,"")))</f>
        <v/>
      </c>
      <c r="K167" t="inlineStr">
        <is>
          <t>UAB</t>
        </is>
      </c>
    </row>
    <row r="168">
      <c r="H168" t="inlineStr">
        <is>
          <t>Boston College</t>
        </is>
      </c>
      <c r="J168">
        <f>IF($H168="","",IF(SUMPRODUCT(--(LOWER(TRIM($H$6:$H$481))=LOWER(TRIM($H168))),--($I$6:$I$481&lt;&gt;$I168))&gt;0,"AMBIGUOUS — MAPS TO MULTIPLE TEAMS",IF(COUNTIF($H$6:$H$481,$H168)&gt;1,"DUPLICATE x"&amp;COUNTIF($H$6:$H$481,$H168)&amp;" -&gt; "&amp;$I168,"")))</f>
        <v/>
      </c>
      <c r="K168" t="inlineStr">
        <is>
          <t>UTSA</t>
        </is>
      </c>
    </row>
    <row r="169">
      <c r="H169" t="inlineStr">
        <is>
          <t>Eagles-BC</t>
        </is>
      </c>
      <c r="J169">
        <f>IF($H169="","",IF(SUMPRODUCT(--(LOWER(TRIM($H$6:$H$481))=LOWER(TRIM($H169))),--($I$6:$I$481&lt;&gt;$I169))&gt;0,"AMBIGUOUS — MAPS TO MULTIPLE TEAMS",IF(COUNTIF($H$6:$H$481,$H169)&gt;1,"DUPLICATE x"&amp;COUNTIF($H$6:$H$481,$H169)&amp;" -&gt; "&amp;$I169,"")))</f>
        <v/>
      </c>
      <c r="K169" t="inlineStr">
        <is>
          <t>Delaware</t>
        </is>
      </c>
    </row>
    <row r="170">
      <c r="H170" t="inlineStr">
        <is>
          <t>CAL</t>
        </is>
      </c>
      <c r="J170">
        <f>IF($H170="","",IF(SUMPRODUCT(--(LOWER(TRIM($H$6:$H$481))=LOWER(TRIM($H170))),--($I$6:$I$481&lt;&gt;$I170))&gt;0,"AMBIGUOUS — MAPS TO MULTIPLE TEAMS",IF(COUNTIF($H$6:$H$481,$H170)&gt;1,"DUPLICATE x"&amp;COUNTIF($H$6:$H$481,$H170)&amp;" -&gt; "&amp;$I170,"")))</f>
        <v/>
      </c>
      <c r="K170" t="inlineStr">
        <is>
          <t>DEL</t>
        </is>
      </c>
    </row>
    <row r="171">
      <c r="H171" t="inlineStr">
        <is>
          <t>California</t>
        </is>
      </c>
      <c r="J171">
        <f>IF($H171="","",IF(SUMPRODUCT(--(LOWER(TRIM($H$6:$H$481))=LOWER(TRIM($H171))),--($I$6:$I$481&lt;&gt;$I171))&gt;0,"AMBIGUOUS — MAPS TO MULTIPLE TEAMS",IF(COUNTIF($H$6:$H$481,$H171)&gt;1,"DUPLICATE x"&amp;COUNTIF($H$6:$H$481,$H171)&amp;" -&gt; "&amp;$I171,"")))</f>
        <v/>
      </c>
      <c r="K171" t="inlineStr">
        <is>
          <t>FIU</t>
        </is>
      </c>
    </row>
    <row r="172">
      <c r="H172" t="inlineStr">
        <is>
          <t>Golden Bears</t>
        </is>
      </c>
      <c r="J172">
        <f>IF($H172="","",IF(SUMPRODUCT(--(LOWER(TRIM($H$6:$H$481))=LOWER(TRIM($H172))),--($I$6:$I$481&lt;&gt;$I172))&gt;0,"AMBIGUOUS — MAPS TO MULTIPLE TEAMS",IF(COUNTIF($H$6:$H$481,$H172)&gt;1,"DUPLICATE x"&amp;COUNTIF($H$6:$H$481,$H172)&amp;" -&gt; "&amp;$I172,"")))</f>
        <v/>
      </c>
      <c r="K172" t="inlineStr">
        <is>
          <t>Jacksonville State</t>
        </is>
      </c>
    </row>
    <row r="173">
      <c r="H173" t="inlineStr">
        <is>
          <t>CLEM</t>
        </is>
      </c>
      <c r="J173">
        <f>IF($H173="","",IF(SUMPRODUCT(--(LOWER(TRIM($H$6:$H$481))=LOWER(TRIM($H173))),--($I$6:$I$481&lt;&gt;$I173))&gt;0,"AMBIGUOUS — MAPS TO MULTIPLE TEAMS",IF(COUNTIF($H$6:$H$481,$H173)&gt;1,"DUPLICATE x"&amp;COUNTIF($H$6:$H$481,$H173)&amp;" -&gt; "&amp;$I173,"")))</f>
        <v/>
      </c>
      <c r="K173" t="inlineStr">
        <is>
          <t>JVST</t>
        </is>
      </c>
    </row>
    <row r="174">
      <c r="H174" t="inlineStr">
        <is>
          <t>Clemson</t>
        </is>
      </c>
      <c r="J174">
        <f>IF($H174="","",IF(SUMPRODUCT(--(LOWER(TRIM($H$6:$H$481))=LOWER(TRIM($H174))),--($I$6:$I$481&lt;&gt;$I174))&gt;0,"AMBIGUOUS — MAPS TO MULTIPLE TEAMS",IF(COUNTIF($H$6:$H$481,$H174)&gt;1,"DUPLICATE x"&amp;COUNTIF($H$6:$H$481,$H174)&amp;" -&gt; "&amp;$I174,"")))</f>
        <v/>
      </c>
      <c r="K174" t="inlineStr">
        <is>
          <t>Kennesaw State</t>
        </is>
      </c>
    </row>
    <row r="175">
      <c r="H175" t="inlineStr">
        <is>
          <t>Tigers-CLEM</t>
        </is>
      </c>
      <c r="J175">
        <f>IF($H175="","",IF(SUMPRODUCT(--(LOWER(TRIM($H$6:$H$481))=LOWER(TRIM($H175))),--($I$6:$I$481&lt;&gt;$I175))&gt;0,"AMBIGUOUS — MAPS TO MULTIPLE TEAMS",IF(COUNTIF($H$6:$H$481,$H175)&gt;1,"DUPLICATE x"&amp;COUNTIF($H$6:$H$481,$H175)&amp;" -&gt; "&amp;$I175,"")))</f>
        <v/>
      </c>
      <c r="K175" t="inlineStr">
        <is>
          <t>KENN</t>
        </is>
      </c>
    </row>
    <row r="176">
      <c r="H176" t="inlineStr">
        <is>
          <t>DUKE</t>
        </is>
      </c>
      <c r="J176">
        <f>IF($H176="","",IF(SUMPRODUCT(--(LOWER(TRIM($H$6:$H$481))=LOWER(TRIM($H176))),--($I$6:$I$481&lt;&gt;$I176))&gt;0,"AMBIGUOUS — MAPS TO MULTIPLE TEAMS",IF(COUNTIF($H$6:$H$481,$H176)&gt;1,"DUPLICATE x"&amp;COUNTIF($H$6:$H$481,$H176)&amp;" -&gt; "&amp;$I176,"")))</f>
        <v/>
      </c>
      <c r="K176" t="inlineStr">
        <is>
          <t>Liberty</t>
        </is>
      </c>
    </row>
    <row r="177">
      <c r="H177" t="inlineStr">
        <is>
          <t>Blue Devils</t>
        </is>
      </c>
      <c r="J177">
        <f>IF($H177="","",IF(SUMPRODUCT(--(LOWER(TRIM($H$6:$H$481))=LOWER(TRIM($H177))),--($I$6:$I$481&lt;&gt;$I177))&gt;0,"AMBIGUOUS — MAPS TO MULTIPLE TEAMS",IF(COUNTIF($H$6:$H$481,$H177)&gt;1,"DUPLICATE x"&amp;COUNTIF($H$6:$H$481,$H177)&amp;" -&gt; "&amp;$I177,"")))</f>
        <v/>
      </c>
      <c r="K177" t="inlineStr">
        <is>
          <t>LIB</t>
        </is>
      </c>
    </row>
    <row r="178">
      <c r="H178" t="inlineStr">
        <is>
          <t>FSU</t>
        </is>
      </c>
      <c r="J178">
        <f>IF($H178="","",IF(SUMPRODUCT(--(LOWER(TRIM($H$6:$H$481))=LOWER(TRIM($H178))),--($I$6:$I$481&lt;&gt;$I178))&gt;0,"AMBIGUOUS — MAPS TO MULTIPLE TEAMS",IF(COUNTIF($H$6:$H$481,$H178)&gt;1,"DUPLICATE x"&amp;COUNTIF($H$6:$H$481,$H178)&amp;" -&gt; "&amp;$I178,"")))</f>
        <v/>
      </c>
      <c r="K178" t="inlineStr">
        <is>
          <t>Middle Tennessee</t>
        </is>
      </c>
    </row>
    <row r="179">
      <c r="H179" t="inlineStr">
        <is>
          <t>Florida State</t>
        </is>
      </c>
      <c r="J179">
        <f>IF($H179="","",IF(SUMPRODUCT(--(LOWER(TRIM($H$6:$H$481))=LOWER(TRIM($H179))),--($I$6:$I$481&lt;&gt;$I179))&gt;0,"AMBIGUOUS — MAPS TO MULTIPLE TEAMS",IF(COUNTIF($H$6:$H$481,$H179)&gt;1,"DUPLICATE x"&amp;COUNTIF($H$6:$H$481,$H179)&amp;" -&gt; "&amp;$I179,"")))</f>
        <v/>
      </c>
      <c r="K179" t="inlineStr">
        <is>
          <t>MTSU</t>
        </is>
      </c>
    </row>
    <row r="180">
      <c r="H180" t="inlineStr">
        <is>
          <t>Noles</t>
        </is>
      </c>
      <c r="J180">
        <f>IF($H180="","",IF(SUMPRODUCT(--(LOWER(TRIM($H$6:$H$481))=LOWER(TRIM($H180))),--($I$6:$I$481&lt;&gt;$I180))&gt;0,"AMBIGUOUS — MAPS TO MULTIPLE TEAMS",IF(COUNTIF($H$6:$H$481,$H180)&gt;1,"DUPLICATE x"&amp;COUNTIF($H$6:$H$481,$H180)&amp;" -&gt; "&amp;$I180,"")))</f>
        <v/>
      </c>
      <c r="K180" t="inlineStr">
        <is>
          <t>Missouri State</t>
        </is>
      </c>
    </row>
    <row r="181">
      <c r="H181" t="inlineStr">
        <is>
          <t>Seminoles</t>
        </is>
      </c>
      <c r="J181">
        <f>IF($H181="","",IF(SUMPRODUCT(--(LOWER(TRIM($H$6:$H$481))=LOWER(TRIM($H181))),--($I$6:$I$481&lt;&gt;$I181))&gt;0,"AMBIGUOUS — MAPS TO MULTIPLE TEAMS",IF(COUNTIF($H$6:$H$481,$H181)&gt;1,"DUPLICATE x"&amp;COUNTIF($H$6:$H$481,$H181)&amp;" -&gt; "&amp;$I181,"")))</f>
        <v/>
      </c>
      <c r="K181" t="inlineStr">
        <is>
          <t>MOST</t>
        </is>
      </c>
    </row>
    <row r="182">
      <c r="H182" t="inlineStr">
        <is>
          <t>GT</t>
        </is>
      </c>
      <c r="J182">
        <f>IF($H182="","",IF(SUMPRODUCT(--(LOWER(TRIM($H$6:$H$481))=LOWER(TRIM($H182))),--($I$6:$I$481&lt;&gt;$I182))&gt;0,"AMBIGUOUS — MAPS TO MULTIPLE TEAMS",IF(COUNTIF($H$6:$H$481,$H182)&gt;1,"DUPLICATE x"&amp;COUNTIF($H$6:$H$481,$H182)&amp;" -&gt; "&amp;$I182,"")))</f>
        <v/>
      </c>
      <c r="K182" t="inlineStr">
        <is>
          <t>New Mexico State</t>
        </is>
      </c>
    </row>
    <row r="183">
      <c r="H183" t="inlineStr">
        <is>
          <t>Georgia Tech</t>
        </is>
      </c>
      <c r="J183">
        <f>IF($H183="","",IF(SUMPRODUCT(--(LOWER(TRIM($H$6:$H$481))=LOWER(TRIM($H183))),--($I$6:$I$481&lt;&gt;$I183))&gt;0,"AMBIGUOUS — MAPS TO MULTIPLE TEAMS",IF(COUNTIF($H$6:$H$481,$H183)&gt;1,"DUPLICATE x"&amp;COUNTIF($H$6:$H$481,$H183)&amp;" -&gt; "&amp;$I183,"")))</f>
        <v/>
      </c>
      <c r="K183" t="inlineStr">
        <is>
          <t>NMSU</t>
        </is>
      </c>
    </row>
    <row r="184">
      <c r="H184" t="inlineStr">
        <is>
          <t>Ga Tech</t>
        </is>
      </c>
      <c r="J184">
        <f>IF($H184="","",IF(SUMPRODUCT(--(LOWER(TRIM($H$6:$H$481))=LOWER(TRIM($H184))),--($I$6:$I$481&lt;&gt;$I184))&gt;0,"AMBIGUOUS — MAPS TO MULTIPLE TEAMS",IF(COUNTIF($H$6:$H$481,$H184)&gt;1,"DUPLICATE x"&amp;COUNTIF($H$6:$H$481,$H184)&amp;" -&gt; "&amp;$I184,"")))</f>
        <v/>
      </c>
      <c r="K184" t="inlineStr">
        <is>
          <t>Sam Houston</t>
        </is>
      </c>
    </row>
    <row r="185">
      <c r="H185" t="inlineStr">
        <is>
          <t>Yellow Jackets</t>
        </is>
      </c>
      <c r="J185">
        <f>IF($H185="","",IF(SUMPRODUCT(--(LOWER(TRIM($H$6:$H$481))=LOWER(TRIM($H185))),--($I$6:$I$481&lt;&gt;$I185))&gt;0,"AMBIGUOUS — MAPS TO MULTIPLE TEAMS",IF(COUNTIF($H$6:$H$481,$H185)&gt;1,"DUPLICATE x"&amp;COUNTIF($H$6:$H$481,$H185)&amp;" -&gt; "&amp;$I185,"")))</f>
        <v/>
      </c>
      <c r="K185" t="inlineStr">
        <is>
          <t>SHSU</t>
        </is>
      </c>
    </row>
    <row r="186">
      <c r="H186" t="inlineStr">
        <is>
          <t>LOU</t>
        </is>
      </c>
      <c r="J186">
        <f>IF($H186="","",IF(SUMPRODUCT(--(LOWER(TRIM($H$6:$H$481))=LOWER(TRIM($H186))),--($I$6:$I$481&lt;&gt;$I186))&gt;0,"AMBIGUOUS — MAPS TO MULTIPLE TEAMS",IF(COUNTIF($H$6:$H$481,$H186)&gt;1,"DUPLICATE x"&amp;COUNTIF($H$6:$H$481,$H186)&amp;" -&gt; "&amp;$I186,"")))</f>
        <v/>
      </c>
      <c r="K186" t="inlineStr">
        <is>
          <t>Western Kentucky</t>
        </is>
      </c>
    </row>
    <row r="187">
      <c r="H187" t="inlineStr">
        <is>
          <t>Louisville</t>
        </is>
      </c>
      <c r="J187">
        <f>IF($H187="","",IF(SUMPRODUCT(--(LOWER(TRIM($H$6:$H$481))=LOWER(TRIM($H187))),--($I$6:$I$481&lt;&gt;$I187))&gt;0,"AMBIGUOUS — MAPS TO MULTIPLE TEAMS",IF(COUNTIF($H$6:$H$481,$H187)&gt;1,"DUPLICATE x"&amp;COUNTIF($H$6:$H$481,$H187)&amp;" -&gt; "&amp;$I187,"")))</f>
        <v/>
      </c>
      <c r="K187" t="inlineStr">
        <is>
          <t>WKU</t>
        </is>
      </c>
    </row>
    <row r="188">
      <c r="H188" t="inlineStr">
        <is>
          <t>Ville</t>
        </is>
      </c>
      <c r="J188">
        <f>IF($H188="","",IF(SUMPRODUCT(--(LOWER(TRIM($H$6:$H$481))=LOWER(TRIM($H188))),--($I$6:$I$481&lt;&gt;$I188))&gt;0,"AMBIGUOUS — MAPS TO MULTIPLE TEAMS",IF(COUNTIF($H$6:$H$481,$H188)&gt;1,"DUPLICATE x"&amp;COUNTIF($H$6:$H$481,$H188)&amp;" -&gt; "&amp;$I188,"")))</f>
        <v/>
      </c>
      <c r="K188" t="inlineStr">
        <is>
          <t>Akron</t>
        </is>
      </c>
    </row>
    <row r="189">
      <c r="H189" t="inlineStr">
        <is>
          <t>Cards-LOU</t>
        </is>
      </c>
      <c r="J189">
        <f>IF($H189="","",IF(SUMPRODUCT(--(LOWER(TRIM($H$6:$H$481))=LOWER(TRIM($H189))),--($I$6:$I$481&lt;&gt;$I189))&gt;0,"AMBIGUOUS — MAPS TO MULTIPLE TEAMS",IF(COUNTIF($H$6:$H$481,$H189)&gt;1,"DUPLICATE x"&amp;COUNTIF($H$6:$H$481,$H189)&amp;" -&gt; "&amp;$I189,"")))</f>
        <v/>
      </c>
      <c r="K189" t="inlineStr">
        <is>
          <t>AKR</t>
        </is>
      </c>
    </row>
    <row r="190">
      <c r="H190" t="inlineStr">
        <is>
          <t>MIA</t>
        </is>
      </c>
      <c r="J190">
        <f>IF($H190="","",IF(SUMPRODUCT(--(LOWER(TRIM($H$6:$H$481))=LOWER(TRIM($H190))),--($I$6:$I$481&lt;&gt;$I190))&gt;0,"AMBIGUOUS — MAPS TO MULTIPLE TEAMS",IF(COUNTIF($H$6:$H$481,$H190)&gt;1,"DUPLICATE x"&amp;COUNTIF($H$6:$H$481,$H190)&amp;" -&gt; "&amp;$I190,"")))</f>
        <v/>
      </c>
      <c r="K190" t="inlineStr">
        <is>
          <t>Ball State</t>
        </is>
      </c>
    </row>
    <row r="191">
      <c r="H191" t="inlineStr">
        <is>
          <t>Miami FL</t>
        </is>
      </c>
      <c r="J191">
        <f>IF($H191="","",IF(SUMPRODUCT(--(LOWER(TRIM($H$6:$H$481))=LOWER(TRIM($H191))),--($I$6:$I$481&lt;&gt;$I191))&gt;0,"AMBIGUOUS — MAPS TO MULTIPLE TEAMS",IF(COUNTIF($H$6:$H$481,$H191)&gt;1,"DUPLICATE x"&amp;COUNTIF($H$6:$H$481,$H191)&amp;" -&gt; "&amp;$I191,"")))</f>
        <v/>
      </c>
      <c r="K191" t="inlineStr">
        <is>
          <t>BALL</t>
        </is>
      </c>
    </row>
    <row r="192">
      <c r="H192" t="inlineStr">
        <is>
          <t>The U</t>
        </is>
      </c>
      <c r="J192">
        <f>IF($H192="","",IF(SUMPRODUCT(--(LOWER(TRIM($H$6:$H$481))=LOWER(TRIM($H192))),--($I$6:$I$481&lt;&gt;$I192))&gt;0,"AMBIGUOUS — MAPS TO MULTIPLE TEAMS",IF(COUNTIF($H$6:$H$481,$H192)&gt;1,"DUPLICATE x"&amp;COUNTIF($H$6:$H$481,$H192)&amp;" -&gt; "&amp;$I192,"")))</f>
        <v/>
      </c>
      <c r="K192" t="inlineStr">
        <is>
          <t>Bowling Green</t>
        </is>
      </c>
    </row>
    <row r="193">
      <c r="H193" t="inlineStr">
        <is>
          <t>Canes</t>
        </is>
      </c>
      <c r="J193">
        <f>IF($H193="","",IF(SUMPRODUCT(--(LOWER(TRIM($H$6:$H$481))=LOWER(TRIM($H193))),--($I$6:$I$481&lt;&gt;$I193))&gt;0,"AMBIGUOUS — MAPS TO MULTIPLE TEAMS",IF(COUNTIF($H$6:$H$481,$H193)&gt;1,"DUPLICATE x"&amp;COUNTIF($H$6:$H$481,$H193)&amp;" -&gt; "&amp;$I193,"")))</f>
        <v/>
      </c>
      <c r="K193" t="inlineStr">
        <is>
          <t>BGSU</t>
        </is>
      </c>
    </row>
    <row r="194">
      <c r="H194" t="inlineStr">
        <is>
          <t>NCST</t>
        </is>
      </c>
      <c r="J194">
        <f>IF($H194="","",IF(SUMPRODUCT(--(LOWER(TRIM($H$6:$H$481))=LOWER(TRIM($H194))),--($I$6:$I$481&lt;&gt;$I194))&gt;0,"AMBIGUOUS — MAPS TO MULTIPLE TEAMS",IF(COUNTIF($H$6:$H$481,$H194)&gt;1,"DUPLICATE x"&amp;COUNTIF($H$6:$H$481,$H194)&amp;" -&gt; "&amp;$I194,"")))</f>
        <v/>
      </c>
      <c r="K194" t="inlineStr">
        <is>
          <t>Buffalo</t>
        </is>
      </c>
    </row>
    <row r="195">
      <c r="H195" t="inlineStr">
        <is>
          <t>NC State</t>
        </is>
      </c>
      <c r="J195">
        <f>IF($H195="","",IF(SUMPRODUCT(--(LOWER(TRIM($H$6:$H$481))=LOWER(TRIM($H195))),--($I$6:$I$481&lt;&gt;$I195))&gt;0,"AMBIGUOUS — MAPS TO MULTIPLE TEAMS",IF(COUNTIF($H$6:$H$481,$H195)&gt;1,"DUPLICATE x"&amp;COUNTIF($H$6:$H$481,$H195)&amp;" -&gt; "&amp;$I195,"")))</f>
        <v/>
      </c>
      <c r="K195" t="inlineStr">
        <is>
          <t>BUFF</t>
        </is>
      </c>
    </row>
    <row r="196">
      <c r="H196" t="inlineStr">
        <is>
          <t>North Carolina State</t>
        </is>
      </c>
      <c r="J196">
        <f>IF($H196="","",IF(SUMPRODUCT(--(LOWER(TRIM($H$6:$H$481))=LOWER(TRIM($H196))),--($I$6:$I$481&lt;&gt;$I196))&gt;0,"AMBIGUOUS — MAPS TO MULTIPLE TEAMS",IF(COUNTIF($H$6:$H$481,$H196)&gt;1,"DUPLICATE x"&amp;COUNTIF($H$6:$H$481,$H196)&amp;" -&gt; "&amp;$I196,"")))</f>
        <v/>
      </c>
      <c r="K196" t="inlineStr">
        <is>
          <t>Central Michigan</t>
        </is>
      </c>
    </row>
    <row r="197">
      <c r="H197" t="inlineStr">
        <is>
          <t>Wolfpack</t>
        </is>
      </c>
      <c r="J197">
        <f>IF($H197="","",IF(SUMPRODUCT(--(LOWER(TRIM($H$6:$H$481))=LOWER(TRIM($H197))),--($I$6:$I$481&lt;&gt;$I197))&gt;0,"AMBIGUOUS — MAPS TO MULTIPLE TEAMS",IF(COUNTIF($H$6:$H$481,$H197)&gt;1,"DUPLICATE x"&amp;COUNTIF($H$6:$H$481,$H197)&amp;" -&gt; "&amp;$I197,"")))</f>
        <v/>
      </c>
      <c r="K197" t="inlineStr">
        <is>
          <t>CMU</t>
        </is>
      </c>
    </row>
    <row r="198">
      <c r="H198" t="inlineStr">
        <is>
          <t>UNC</t>
        </is>
      </c>
      <c r="J198">
        <f>IF($H198="","",IF(SUMPRODUCT(--(LOWER(TRIM($H$6:$H$481))=LOWER(TRIM($H198))),--($I$6:$I$481&lt;&gt;$I198))&gt;0,"AMBIGUOUS — MAPS TO MULTIPLE TEAMS",IF(COUNTIF($H$6:$H$481,$H198)&gt;1,"DUPLICATE x"&amp;COUNTIF($H$6:$H$481,$H198)&amp;" -&gt; "&amp;$I198,"")))</f>
        <v/>
      </c>
      <c r="K198" t="inlineStr">
        <is>
          <t>Eastern Michigan</t>
        </is>
      </c>
    </row>
    <row r="199">
      <c r="H199" t="inlineStr">
        <is>
          <t>North Carolina</t>
        </is>
      </c>
      <c r="J199">
        <f>IF($H199="","",IF(SUMPRODUCT(--(LOWER(TRIM($H$6:$H$481))=LOWER(TRIM($H199))),--($I$6:$I$481&lt;&gt;$I199))&gt;0,"AMBIGUOUS — MAPS TO MULTIPLE TEAMS",IF(COUNTIF($H$6:$H$481,$H199)&gt;1,"DUPLICATE x"&amp;COUNTIF($H$6:$H$481,$H199)&amp;" -&gt; "&amp;$I199,"")))</f>
        <v/>
      </c>
      <c r="K199" t="inlineStr">
        <is>
          <t>EMU</t>
        </is>
      </c>
    </row>
    <row r="200">
      <c r="H200" t="inlineStr">
        <is>
          <t>Tar Heels</t>
        </is>
      </c>
      <c r="J200">
        <f>IF($H200="","",IF(SUMPRODUCT(--(LOWER(TRIM($H$6:$H$481))=LOWER(TRIM($H200))),--($I$6:$I$481&lt;&gt;$I200))&gt;0,"AMBIGUOUS — MAPS TO MULTIPLE TEAMS",IF(COUNTIF($H$6:$H$481,$H200)&gt;1,"DUPLICATE x"&amp;COUNTIF($H$6:$H$481,$H200)&amp;" -&gt; "&amp;$I200,"")))</f>
        <v/>
      </c>
      <c r="K200" t="inlineStr">
        <is>
          <t>Kent State</t>
        </is>
      </c>
    </row>
    <row r="201">
      <c r="H201" t="inlineStr">
        <is>
          <t>PITT</t>
        </is>
      </c>
      <c r="J201">
        <f>IF($H201="","",IF(SUMPRODUCT(--(LOWER(TRIM($H$6:$H$481))=LOWER(TRIM($H201))),--($I$6:$I$481&lt;&gt;$I201))&gt;0,"AMBIGUOUS — MAPS TO MULTIPLE TEAMS",IF(COUNTIF($H$6:$H$481,$H201)&gt;1,"DUPLICATE x"&amp;COUNTIF($H$6:$H$481,$H201)&amp;" -&gt; "&amp;$I201,"")))</f>
        <v/>
      </c>
      <c r="K201" t="inlineStr">
        <is>
          <t>KENT</t>
        </is>
      </c>
    </row>
    <row r="202">
      <c r="H202" t="inlineStr">
        <is>
          <t>Pittsburgh</t>
        </is>
      </c>
      <c r="J202">
        <f>IF($H202="","",IF(SUMPRODUCT(--(LOWER(TRIM($H$6:$H$481))=LOWER(TRIM($H202))),--($I$6:$I$481&lt;&gt;$I202))&gt;0,"AMBIGUOUS — MAPS TO MULTIPLE TEAMS",IF(COUNTIF($H$6:$H$481,$H202)&gt;1,"DUPLICATE x"&amp;COUNTIF($H$6:$H$481,$H202)&amp;" -&gt; "&amp;$I202,"")))</f>
        <v/>
      </c>
      <c r="K202" t="inlineStr">
        <is>
          <t>Miami (OH)</t>
        </is>
      </c>
    </row>
    <row r="203">
      <c r="H203" t="inlineStr">
        <is>
          <t>Panthers-PITT</t>
        </is>
      </c>
      <c r="J203">
        <f>IF($H203="","",IF(SUMPRODUCT(--(LOWER(TRIM($H$6:$H$481))=LOWER(TRIM($H203))),--($I$6:$I$481&lt;&gt;$I203))&gt;0,"AMBIGUOUS — MAPS TO MULTIPLE TEAMS",IF(COUNTIF($H$6:$H$481,$H203)&gt;1,"DUPLICATE x"&amp;COUNTIF($H$6:$H$481,$H203)&amp;" -&gt; "&amp;$I203,"")))</f>
        <v/>
      </c>
      <c r="K203" t="inlineStr">
        <is>
          <t>M-OH</t>
        </is>
      </c>
    </row>
    <row r="204">
      <c r="H204" t="inlineStr">
        <is>
          <t>SMU</t>
        </is>
      </c>
      <c r="J204">
        <f>IF($H204="","",IF(SUMPRODUCT(--(LOWER(TRIM($H$6:$H$481))=LOWER(TRIM($H204))),--($I$6:$I$481&lt;&gt;$I204))&gt;0,"AMBIGUOUS — MAPS TO MULTIPLE TEAMS",IF(COUNTIF($H$6:$H$481,$H204)&gt;1,"DUPLICATE x"&amp;COUNTIF($H$6:$H$481,$H204)&amp;" -&gt; "&amp;$I204,"")))</f>
        <v/>
      </c>
      <c r="K204" t="inlineStr">
        <is>
          <t>Ohio</t>
        </is>
      </c>
    </row>
    <row r="205">
      <c r="H205" t="inlineStr">
        <is>
          <t>Southern Methodist</t>
        </is>
      </c>
      <c r="J205">
        <f>IF($H205="","",IF(SUMPRODUCT(--(LOWER(TRIM($H$6:$H$481))=LOWER(TRIM($H205))),--($I$6:$I$481&lt;&gt;$I205))&gt;0,"AMBIGUOUS — MAPS TO MULTIPLE TEAMS",IF(COUNTIF($H$6:$H$481,$H205)&gt;1,"DUPLICATE x"&amp;COUNTIF($H$6:$H$481,$H205)&amp;" -&gt; "&amp;$I205,"")))</f>
        <v/>
      </c>
      <c r="K205" t="inlineStr">
        <is>
          <t>Sacramento State</t>
        </is>
      </c>
    </row>
    <row r="206">
      <c r="H206" t="inlineStr">
        <is>
          <t>STAN</t>
        </is>
      </c>
      <c r="J206">
        <f>IF($H206="","",IF(SUMPRODUCT(--(LOWER(TRIM($H$6:$H$481))=LOWER(TRIM($H206))),--($I$6:$I$481&lt;&gt;$I206))&gt;0,"AMBIGUOUS — MAPS TO MULTIPLE TEAMS",IF(COUNTIF($H$6:$H$481,$H206)&gt;1,"DUPLICATE x"&amp;COUNTIF($H$6:$H$481,$H206)&amp;" -&gt; "&amp;$I206,"")))</f>
        <v/>
      </c>
      <c r="K206" t="inlineStr">
        <is>
          <t>SAC</t>
        </is>
      </c>
    </row>
    <row r="207">
      <c r="H207" t="inlineStr">
        <is>
          <t>Stanford</t>
        </is>
      </c>
      <c r="J207">
        <f>IF($H207="","",IF(SUMPRODUCT(--(LOWER(TRIM($H$6:$H$481))=LOWER(TRIM($H207))),--($I$6:$I$481&lt;&gt;$I207))&gt;0,"AMBIGUOUS — MAPS TO MULTIPLE TEAMS",IF(COUNTIF($H$6:$H$481,$H207)&gt;1,"DUPLICATE x"&amp;COUNTIF($H$6:$H$481,$H207)&amp;" -&gt; "&amp;$I207,"")))</f>
        <v/>
      </c>
      <c r="K207" t="inlineStr">
        <is>
          <t>Toledo</t>
        </is>
      </c>
    </row>
    <row r="208">
      <c r="H208" t="inlineStr">
        <is>
          <t>Cardinal</t>
        </is>
      </c>
      <c r="J208">
        <f>IF($H208="","",IF(SUMPRODUCT(--(LOWER(TRIM($H$6:$H$481))=LOWER(TRIM($H208))),--($I$6:$I$481&lt;&gt;$I208))&gt;0,"AMBIGUOUS — MAPS TO MULTIPLE TEAMS",IF(COUNTIF($H$6:$H$481,$H208)&gt;1,"DUPLICATE x"&amp;COUNTIF($H$6:$H$481,$H208)&amp;" -&gt; "&amp;$I208,"")))</f>
        <v/>
      </c>
      <c r="K208" t="inlineStr">
        <is>
          <t>TOL</t>
        </is>
      </c>
    </row>
    <row r="209">
      <c r="H209" t="inlineStr">
        <is>
          <t>SYR</t>
        </is>
      </c>
      <c r="J209">
        <f>IF($H209="","",IF(SUMPRODUCT(--(LOWER(TRIM($H$6:$H$481))=LOWER(TRIM($H209))),--($I$6:$I$481&lt;&gt;$I209))&gt;0,"AMBIGUOUS — MAPS TO MULTIPLE TEAMS",IF(COUNTIF($H$6:$H$481,$H209)&gt;1,"DUPLICATE x"&amp;COUNTIF($H$6:$H$481,$H209)&amp;" -&gt; "&amp;$I209,"")))</f>
        <v/>
      </c>
      <c r="K209" t="inlineStr">
        <is>
          <t>UMass</t>
        </is>
      </c>
    </row>
    <row r="210">
      <c r="H210" t="inlineStr">
        <is>
          <t>Syracuse</t>
        </is>
      </c>
      <c r="J210">
        <f>IF($H210="","",IF(SUMPRODUCT(--(LOWER(TRIM($H$6:$H$481))=LOWER(TRIM($H210))),--($I$6:$I$481&lt;&gt;$I210))&gt;0,"AMBIGUOUS — MAPS TO MULTIPLE TEAMS",IF(COUNTIF($H$6:$H$481,$H210)&gt;1,"DUPLICATE x"&amp;COUNTIF($H$6:$H$481,$H210)&amp;" -&gt; "&amp;$I210,"")))</f>
        <v/>
      </c>
      <c r="K210" t="inlineStr">
        <is>
          <t>MASS</t>
        </is>
      </c>
    </row>
    <row r="211">
      <c r="H211" t="inlineStr">
        <is>
          <t>Cuse</t>
        </is>
      </c>
      <c r="J211">
        <f>IF($H211="","",IF(SUMPRODUCT(--(LOWER(TRIM($H$6:$H$481))=LOWER(TRIM($H211))),--($I$6:$I$481&lt;&gt;$I211))&gt;0,"AMBIGUOUS — MAPS TO MULTIPLE TEAMS",IF(COUNTIF($H$6:$H$481,$H211)&gt;1,"DUPLICATE x"&amp;COUNTIF($H$6:$H$481,$H211)&amp;" -&gt; "&amp;$I211,"")))</f>
        <v/>
      </c>
      <c r="K211" t="inlineStr">
        <is>
          <t>Western Michigan</t>
        </is>
      </c>
    </row>
    <row r="212">
      <c r="H212" t="inlineStr">
        <is>
          <t>Orange</t>
        </is>
      </c>
      <c r="J212">
        <f>IF($H212="","",IF(SUMPRODUCT(--(LOWER(TRIM($H$6:$H$481))=LOWER(TRIM($H212))),--($I$6:$I$481&lt;&gt;$I212))&gt;0,"AMBIGUOUS — MAPS TO MULTIPLE TEAMS",IF(COUNTIF($H$6:$H$481,$H212)&gt;1,"DUPLICATE x"&amp;COUNTIF($H$6:$H$481,$H212)&amp;" -&gt; "&amp;$I212,"")))</f>
        <v/>
      </c>
      <c r="K212" t="inlineStr">
        <is>
          <t>WMU</t>
        </is>
      </c>
    </row>
    <row r="213">
      <c r="H213" t="inlineStr">
        <is>
          <t>UVA</t>
        </is>
      </c>
      <c r="J213">
        <f>IF($H213="","",IF(SUMPRODUCT(--(LOWER(TRIM($H$6:$H$481))=LOWER(TRIM($H213))),--($I$6:$I$481&lt;&gt;$I213))&gt;0,"AMBIGUOUS — MAPS TO MULTIPLE TEAMS",IF(COUNTIF($H$6:$H$481,$H213)&gt;1,"DUPLICATE x"&amp;COUNTIF($H$6:$H$481,$H213)&amp;" -&gt; "&amp;$I213,"")))</f>
        <v/>
      </c>
      <c r="K213" t="inlineStr">
        <is>
          <t>Air Force</t>
        </is>
      </c>
    </row>
    <row r="214">
      <c r="H214" t="inlineStr">
        <is>
          <t>Virginia</t>
        </is>
      </c>
      <c r="J214">
        <f>IF($H214="","",IF(SUMPRODUCT(--(LOWER(TRIM($H$6:$H$481))=LOWER(TRIM($H214))),--($I$6:$I$481&lt;&gt;$I214))&gt;0,"AMBIGUOUS — MAPS TO MULTIPLE TEAMS",IF(COUNTIF($H$6:$H$481,$H214)&gt;1,"DUPLICATE x"&amp;COUNTIF($H$6:$H$481,$H214)&amp;" -&gt; "&amp;$I214,"")))</f>
        <v/>
      </c>
      <c r="K214" t="inlineStr">
        <is>
          <t>AFA</t>
        </is>
      </c>
    </row>
    <row r="215">
      <c r="H215" t="inlineStr">
        <is>
          <t>Cavaliers</t>
        </is>
      </c>
      <c r="J215">
        <f>IF($H215="","",IF(SUMPRODUCT(--(LOWER(TRIM($H$6:$H$481))=LOWER(TRIM($H215))),--($I$6:$I$481&lt;&gt;$I215))&gt;0,"AMBIGUOUS — MAPS TO MULTIPLE TEAMS",IF(COUNTIF($H$6:$H$481,$H215)&gt;1,"DUPLICATE x"&amp;COUNTIF($H$6:$H$481,$H215)&amp;" -&gt; "&amp;$I215,"")))</f>
        <v/>
      </c>
      <c r="K215" t="inlineStr">
        <is>
          <t>Hawai'i</t>
        </is>
      </c>
    </row>
    <row r="216">
      <c r="H216" t="inlineStr">
        <is>
          <t>Hoos</t>
        </is>
      </c>
      <c r="J216">
        <f>IF($H216="","",IF(SUMPRODUCT(--(LOWER(TRIM($H$6:$H$481))=LOWER(TRIM($H216))),--($I$6:$I$481&lt;&gt;$I216))&gt;0,"AMBIGUOUS — MAPS TO MULTIPLE TEAMS",IF(COUNTIF($H$6:$H$481,$H216)&gt;1,"DUPLICATE x"&amp;COUNTIF($H$6:$H$481,$H216)&amp;" -&gt; "&amp;$I216,"")))</f>
        <v/>
      </c>
      <c r="K216" t="inlineStr">
        <is>
          <t>HAW</t>
        </is>
      </c>
    </row>
    <row r="217">
      <c r="H217" t="inlineStr">
        <is>
          <t>VT</t>
        </is>
      </c>
      <c r="J217">
        <f>IF($H217="","",IF(SUMPRODUCT(--(LOWER(TRIM($H$6:$H$481))=LOWER(TRIM($H217))),--($I$6:$I$481&lt;&gt;$I217))&gt;0,"AMBIGUOUS — MAPS TO MULTIPLE TEAMS",IF(COUNTIF($H$6:$H$481,$H217)&gt;1,"DUPLICATE x"&amp;COUNTIF($H$6:$H$481,$H217)&amp;" -&gt; "&amp;$I217,"")))</f>
        <v/>
      </c>
      <c r="K217" t="inlineStr">
        <is>
          <t>Nevada</t>
        </is>
      </c>
    </row>
    <row r="218">
      <c r="H218" t="inlineStr">
        <is>
          <t>Virginia Tech</t>
        </is>
      </c>
      <c r="J218">
        <f>IF($H218="","",IF(SUMPRODUCT(--(LOWER(TRIM($H$6:$H$481))=LOWER(TRIM($H218))),--($I$6:$I$481&lt;&gt;$I218))&gt;0,"AMBIGUOUS — MAPS TO MULTIPLE TEAMS",IF(COUNTIF($H$6:$H$481,$H218)&gt;1,"DUPLICATE x"&amp;COUNTIF($H$6:$H$481,$H218)&amp;" -&gt; "&amp;$I218,"")))</f>
        <v/>
      </c>
      <c r="K218" t="inlineStr">
        <is>
          <t>NEV</t>
        </is>
      </c>
    </row>
    <row r="219">
      <c r="H219" t="inlineStr">
        <is>
          <t>Va Tech</t>
        </is>
      </c>
      <c r="J219">
        <f>IF($H219="","",IF(SUMPRODUCT(--(LOWER(TRIM($H$6:$H$481))=LOWER(TRIM($H219))),--($I$6:$I$481&lt;&gt;$I219))&gt;0,"AMBIGUOUS — MAPS TO MULTIPLE TEAMS",IF(COUNTIF($H$6:$H$481,$H219)&gt;1,"DUPLICATE x"&amp;COUNTIF($H$6:$H$481,$H219)&amp;" -&gt; "&amp;$I219,"")))</f>
        <v/>
      </c>
      <c r="K219" t="inlineStr">
        <is>
          <t>New Mexico</t>
        </is>
      </c>
    </row>
    <row r="220">
      <c r="H220" t="inlineStr">
        <is>
          <t>Hokies</t>
        </is>
      </c>
      <c r="J220">
        <f>IF($H220="","",IF(SUMPRODUCT(--(LOWER(TRIM($H$6:$H$481))=LOWER(TRIM($H220))),--($I$6:$I$481&lt;&gt;$I220))&gt;0,"AMBIGUOUS — MAPS TO MULTIPLE TEAMS",IF(COUNTIF($H$6:$H$481,$H220)&gt;1,"DUPLICATE x"&amp;COUNTIF($H$6:$H$481,$H220)&amp;" -&gt; "&amp;$I220,"")))</f>
        <v/>
      </c>
      <c r="K220" t="inlineStr">
        <is>
          <t>UNM</t>
        </is>
      </c>
    </row>
    <row r="221">
      <c r="H221" t="inlineStr">
        <is>
          <t>WAKE</t>
        </is>
      </c>
      <c r="J221">
        <f>IF($H221="","",IF(SUMPRODUCT(--(LOWER(TRIM($H$6:$H$481))=LOWER(TRIM($H221))),--($I$6:$I$481&lt;&gt;$I221))&gt;0,"AMBIGUOUS — MAPS TO MULTIPLE TEAMS",IF(COUNTIF($H$6:$H$481,$H221)&gt;1,"DUPLICATE x"&amp;COUNTIF($H$6:$H$481,$H221)&amp;" -&gt; "&amp;$I221,"")))</f>
        <v/>
      </c>
      <c r="K221" t="inlineStr">
        <is>
          <t>North Dakota State</t>
        </is>
      </c>
    </row>
    <row r="222">
      <c r="H222" t="inlineStr">
        <is>
          <t>Wake Forest</t>
        </is>
      </c>
      <c r="J222">
        <f>IF($H222="","",IF(SUMPRODUCT(--(LOWER(TRIM($H$6:$H$481))=LOWER(TRIM($H222))),--($I$6:$I$481&lt;&gt;$I222))&gt;0,"AMBIGUOUS — MAPS TO MULTIPLE TEAMS",IF(COUNTIF($H$6:$H$481,$H222)&gt;1,"DUPLICATE x"&amp;COUNTIF($H$6:$H$481,$H222)&amp;" -&gt; "&amp;$I222,"")))</f>
        <v/>
      </c>
      <c r="K222" t="inlineStr">
        <is>
          <t>NDSU</t>
        </is>
      </c>
    </row>
    <row r="223">
      <c r="H223" t="inlineStr">
        <is>
          <t>Deacs</t>
        </is>
      </c>
      <c r="J223">
        <f>IF($H223="","",IF(SUMPRODUCT(--(LOWER(TRIM($H$6:$H$481))=LOWER(TRIM($H223))),--($I$6:$I$481&lt;&gt;$I223))&gt;0,"AMBIGUOUS — MAPS TO MULTIPLE TEAMS",IF(COUNTIF($H$6:$H$481,$H223)&gt;1,"DUPLICATE x"&amp;COUNTIF($H$6:$H$481,$H223)&amp;" -&gt; "&amp;$I223,"")))</f>
        <v/>
      </c>
      <c r="K223" t="inlineStr">
        <is>
          <t>Northern Illinois</t>
        </is>
      </c>
    </row>
    <row r="224">
      <c r="H224" t="inlineStr">
        <is>
          <t>BSU</t>
        </is>
      </c>
      <c r="J224">
        <f>IF($H224="","",IF(SUMPRODUCT(--(LOWER(TRIM($H$6:$H$481))=LOWER(TRIM($H224))),--($I$6:$I$481&lt;&gt;$I224))&gt;0,"AMBIGUOUS — MAPS TO MULTIPLE TEAMS",IF(COUNTIF($H$6:$H$481,$H224)&gt;1,"DUPLICATE x"&amp;COUNTIF($H$6:$H$481,$H224)&amp;" -&gt; "&amp;$I224,"")))</f>
        <v/>
      </c>
      <c r="K224" t="inlineStr">
        <is>
          <t>NIU</t>
        </is>
      </c>
    </row>
    <row r="225">
      <c r="H225" t="inlineStr">
        <is>
          <t>Boise State</t>
        </is>
      </c>
      <c r="J225">
        <f>IF($H225="","",IF(SUMPRODUCT(--(LOWER(TRIM($H$6:$H$481))=LOWER(TRIM($H225))),--($I$6:$I$481&lt;&gt;$I225))&gt;0,"AMBIGUOUS — MAPS TO MULTIPLE TEAMS",IF(COUNTIF($H$6:$H$481,$H225)&gt;1,"DUPLICATE x"&amp;COUNTIF($H$6:$H$481,$H225)&amp;" -&gt; "&amp;$I225,"")))</f>
        <v/>
      </c>
      <c r="K225" t="inlineStr">
        <is>
          <t>San José State</t>
        </is>
      </c>
    </row>
    <row r="226">
      <c r="H226" t="inlineStr">
        <is>
          <t>Boise</t>
        </is>
      </c>
      <c r="J226">
        <f>IF($H226="","",IF(SUMPRODUCT(--(LOWER(TRIM($H$6:$H$481))=LOWER(TRIM($H226))),--($I$6:$I$481&lt;&gt;$I226))&gt;0,"AMBIGUOUS — MAPS TO MULTIPLE TEAMS",IF(COUNTIF($H$6:$H$481,$H226)&gt;1,"DUPLICATE x"&amp;COUNTIF($H$6:$H$481,$H226)&amp;" -&gt; "&amp;$I226,"")))</f>
        <v/>
      </c>
      <c r="K226" t="inlineStr">
        <is>
          <t>SJSU</t>
        </is>
      </c>
    </row>
    <row r="227">
      <c r="H227" t="inlineStr">
        <is>
          <t>Broncos-BSU</t>
        </is>
      </c>
      <c r="J227">
        <f>IF($H227="","",IF(SUMPRODUCT(--(LOWER(TRIM($H$6:$H$481))=LOWER(TRIM($H227))),--($I$6:$I$481&lt;&gt;$I227))&gt;0,"AMBIGUOUS — MAPS TO MULTIPLE TEAMS",IF(COUNTIF($H$6:$H$481,$H227)&gt;1,"DUPLICATE x"&amp;COUNTIF($H$6:$H$481,$H227)&amp;" -&gt; "&amp;$I227,"")))</f>
        <v/>
      </c>
      <c r="K227" t="inlineStr">
        <is>
          <t>UNLV</t>
        </is>
      </c>
    </row>
    <row r="228">
      <c r="H228" t="inlineStr">
        <is>
          <t>CSU</t>
        </is>
      </c>
      <c r="J228">
        <f>IF($H228="","",IF(SUMPRODUCT(--(LOWER(TRIM($H$6:$H$481))=LOWER(TRIM($H228))),--($I$6:$I$481&lt;&gt;$I228))&gt;0,"AMBIGUOUS — MAPS TO MULTIPLE TEAMS",IF(COUNTIF($H$6:$H$481,$H228)&gt;1,"DUPLICATE x"&amp;COUNTIF($H$6:$H$481,$H228)&amp;" -&gt; "&amp;$I228,"")))</f>
        <v/>
      </c>
      <c r="K228" t="inlineStr">
        <is>
          <t>UTEP</t>
        </is>
      </c>
    </row>
    <row r="229">
      <c r="H229" t="inlineStr">
        <is>
          <t>Colorado State</t>
        </is>
      </c>
      <c r="J229">
        <f>IF($H229="","",IF(SUMPRODUCT(--(LOWER(TRIM($H$6:$H$481))=LOWER(TRIM($H229))),--($I$6:$I$481&lt;&gt;$I229))&gt;0,"AMBIGUOUS — MAPS TO MULTIPLE TEAMS",IF(COUNTIF($H$6:$H$481,$H229)&gt;1,"DUPLICATE x"&amp;COUNTIF($H$6:$H$481,$H229)&amp;" -&gt; "&amp;$I229,"")))</f>
        <v/>
      </c>
      <c r="K229" t="inlineStr">
        <is>
          <t>Wyoming</t>
        </is>
      </c>
    </row>
    <row r="230">
      <c r="H230" t="inlineStr">
        <is>
          <t>Colo State</t>
        </is>
      </c>
      <c r="J230">
        <f>IF($H230="","",IF(SUMPRODUCT(--(LOWER(TRIM($H$6:$H$481))=LOWER(TRIM($H230))),--($I$6:$I$481&lt;&gt;$I230))&gt;0,"AMBIGUOUS — MAPS TO MULTIPLE TEAMS",IF(COUNTIF($H$6:$H$481,$H230)&gt;1,"DUPLICATE x"&amp;COUNTIF($H$6:$H$481,$H230)&amp;" -&gt; "&amp;$I230,"")))</f>
        <v/>
      </c>
      <c r="K230" t="inlineStr">
        <is>
          <t>WYO</t>
        </is>
      </c>
    </row>
    <row r="231">
      <c r="H231" t="inlineStr">
        <is>
          <t>Rams-CSU</t>
        </is>
      </c>
      <c r="J231">
        <f>IF($H231="","",IF(SUMPRODUCT(--(LOWER(TRIM($H$6:$H$481))=LOWER(TRIM($H231))),--($I$6:$I$481&lt;&gt;$I231))&gt;0,"AMBIGUOUS — MAPS TO MULTIPLE TEAMS",IF(COUNTIF($H$6:$H$481,$H231)&gt;1,"DUPLICATE x"&amp;COUNTIF($H$6:$H$481,$H231)&amp;" -&gt; "&amp;$I231,"")))</f>
        <v/>
      </c>
      <c r="K231" t="inlineStr">
        <is>
          <t>Appalachian State</t>
        </is>
      </c>
    </row>
    <row r="232">
      <c r="H232" t="inlineStr">
        <is>
          <t>FRES</t>
        </is>
      </c>
      <c r="J232">
        <f>IF($H232="","",IF(SUMPRODUCT(--(LOWER(TRIM($H$6:$H$481))=LOWER(TRIM($H232))),--($I$6:$I$481&lt;&gt;$I232))&gt;0,"AMBIGUOUS — MAPS TO MULTIPLE TEAMS",IF(COUNTIF($H$6:$H$481,$H232)&gt;1,"DUPLICATE x"&amp;COUNTIF($H$6:$H$481,$H232)&amp;" -&gt; "&amp;$I232,"")))</f>
        <v/>
      </c>
      <c r="K232" t="inlineStr">
        <is>
          <t>APP</t>
        </is>
      </c>
    </row>
    <row r="233">
      <c r="H233" t="inlineStr">
        <is>
          <t>Fresno State</t>
        </is>
      </c>
      <c r="J233">
        <f>IF($H233="","",IF(SUMPRODUCT(--(LOWER(TRIM($H$6:$H$481))=LOWER(TRIM($H233))),--($I$6:$I$481&lt;&gt;$I233))&gt;0,"AMBIGUOUS — MAPS TO MULTIPLE TEAMS",IF(COUNTIF($H$6:$H$481,$H233)&gt;1,"DUPLICATE x"&amp;COUNTIF($H$6:$H$481,$H233)&amp;" -&gt; "&amp;$I233,"")))</f>
        <v/>
      </c>
      <c r="K233" t="inlineStr">
        <is>
          <t>Arkansas State</t>
        </is>
      </c>
    </row>
    <row r="234">
      <c r="H234" t="inlineStr">
        <is>
          <t>Fresno</t>
        </is>
      </c>
      <c r="J234">
        <f>IF($H234="","",IF(SUMPRODUCT(--(LOWER(TRIM($H$6:$H$481))=LOWER(TRIM($H234))),--($I$6:$I$481&lt;&gt;$I234))&gt;0,"AMBIGUOUS — MAPS TO MULTIPLE TEAMS",IF(COUNTIF($H$6:$H$481,$H234)&gt;1,"DUPLICATE x"&amp;COUNTIF($H$6:$H$481,$H234)&amp;" -&gt; "&amp;$I234,"")))</f>
        <v/>
      </c>
      <c r="K234" t="inlineStr">
        <is>
          <t>ARST</t>
        </is>
      </c>
    </row>
    <row r="235">
      <c r="H235" t="inlineStr">
        <is>
          <t>Bulldogs-FRES</t>
        </is>
      </c>
      <c r="J235">
        <f>IF($H235="","",IF(SUMPRODUCT(--(LOWER(TRIM($H$6:$H$481))=LOWER(TRIM($H235))),--($I$6:$I$481&lt;&gt;$I235))&gt;0,"AMBIGUOUS — MAPS TO MULTIPLE TEAMS",IF(COUNTIF($H$6:$H$481,$H235)&gt;1,"DUPLICATE x"&amp;COUNTIF($H$6:$H$481,$H235)&amp;" -&gt; "&amp;$I235,"")))</f>
        <v/>
      </c>
      <c r="K235" t="inlineStr">
        <is>
          <t>Coastal Carolina</t>
        </is>
      </c>
    </row>
    <row r="236">
      <c r="H236" t="inlineStr">
        <is>
          <t>ORST</t>
        </is>
      </c>
      <c r="J236">
        <f>IF($H236="","",IF(SUMPRODUCT(--(LOWER(TRIM($H$6:$H$481))=LOWER(TRIM($H236))),--($I$6:$I$481&lt;&gt;$I236))&gt;0,"AMBIGUOUS — MAPS TO MULTIPLE TEAMS",IF(COUNTIF($H$6:$H$481,$H236)&gt;1,"DUPLICATE x"&amp;COUNTIF($H$6:$H$481,$H236)&amp;" -&gt; "&amp;$I236,"")))</f>
        <v/>
      </c>
      <c r="K236" t="inlineStr">
        <is>
          <t>CCU</t>
        </is>
      </c>
    </row>
    <row r="237">
      <c r="H237" t="inlineStr">
        <is>
          <t>Oregon State</t>
        </is>
      </c>
      <c r="J237">
        <f>IF($H237="","",IF(SUMPRODUCT(--(LOWER(TRIM($H$6:$H$481))=LOWER(TRIM($H237))),--($I$6:$I$481&lt;&gt;$I237))&gt;0,"AMBIGUOUS — MAPS TO MULTIPLE TEAMS",IF(COUNTIF($H$6:$H$481,$H237)&gt;1,"DUPLICATE x"&amp;COUNTIF($H$6:$H$481,$H237)&amp;" -&gt; "&amp;$I237,"")))</f>
        <v/>
      </c>
      <c r="K237" t="inlineStr">
        <is>
          <t>Georgia Southern</t>
        </is>
      </c>
    </row>
    <row r="238">
      <c r="H238" t="inlineStr">
        <is>
          <t>Ore State</t>
        </is>
      </c>
      <c r="J238">
        <f>IF($H238="","",IF(SUMPRODUCT(--(LOWER(TRIM($H$6:$H$481))=LOWER(TRIM($H238))),--($I$6:$I$481&lt;&gt;$I238))&gt;0,"AMBIGUOUS — MAPS TO MULTIPLE TEAMS",IF(COUNTIF($H$6:$H$481,$H238)&gt;1,"DUPLICATE x"&amp;COUNTIF($H$6:$H$481,$H238)&amp;" -&gt; "&amp;$I238,"")))</f>
        <v/>
      </c>
      <c r="K238" t="inlineStr">
        <is>
          <t>GASO</t>
        </is>
      </c>
    </row>
    <row r="239">
      <c r="H239" t="inlineStr">
        <is>
          <t>Beavers</t>
        </is>
      </c>
      <c r="J239">
        <f>IF($H239="","",IF(SUMPRODUCT(--(LOWER(TRIM($H$6:$H$481))=LOWER(TRIM($H239))),--($I$6:$I$481&lt;&gt;$I239))&gt;0,"AMBIGUOUS — MAPS TO MULTIPLE TEAMS",IF(COUNTIF($H$6:$H$481,$H239)&gt;1,"DUPLICATE x"&amp;COUNTIF($H$6:$H$481,$H239)&amp;" -&gt; "&amp;$I239,"")))</f>
        <v/>
      </c>
      <c r="K239" t="inlineStr">
        <is>
          <t>Georgia State</t>
        </is>
      </c>
    </row>
    <row r="240">
      <c r="H240" t="inlineStr">
        <is>
          <t>SDSU</t>
        </is>
      </c>
      <c r="J240">
        <f>IF($H240="","",IF(SUMPRODUCT(--(LOWER(TRIM($H$6:$H$481))=LOWER(TRIM($H240))),--($I$6:$I$481&lt;&gt;$I240))&gt;0,"AMBIGUOUS — MAPS TO MULTIPLE TEAMS",IF(COUNTIF($H$6:$H$481,$H240)&gt;1,"DUPLICATE x"&amp;COUNTIF($H$6:$H$481,$H240)&amp;" -&gt; "&amp;$I240,"")))</f>
        <v/>
      </c>
      <c r="K240" t="inlineStr">
        <is>
          <t>GAST</t>
        </is>
      </c>
    </row>
    <row r="241">
      <c r="H241" t="inlineStr">
        <is>
          <t>San Diego State</t>
        </is>
      </c>
      <c r="J241">
        <f>IF($H241="","",IF(SUMPRODUCT(--(LOWER(TRIM($H$6:$H$481))=LOWER(TRIM($H241))),--($I$6:$I$481&lt;&gt;$I241))&gt;0,"AMBIGUOUS — MAPS TO MULTIPLE TEAMS",IF(COUNTIF($H$6:$H$481,$H241)&gt;1,"DUPLICATE x"&amp;COUNTIF($H$6:$H$481,$H241)&amp;" -&gt; "&amp;$I241,"")))</f>
        <v/>
      </c>
      <c r="K241" t="inlineStr">
        <is>
          <t>James Madison</t>
        </is>
      </c>
    </row>
    <row r="242">
      <c r="H242" t="inlineStr">
        <is>
          <t>Aztecs</t>
        </is>
      </c>
      <c r="J242">
        <f>IF($H242="","",IF(SUMPRODUCT(--(LOWER(TRIM($H$6:$H$481))=LOWER(TRIM($H242))),--($I$6:$I$481&lt;&gt;$I242))&gt;0,"AMBIGUOUS — MAPS TO MULTIPLE TEAMS",IF(COUNTIF($H$6:$H$481,$H242)&gt;1,"DUPLICATE x"&amp;COUNTIF($H$6:$H$481,$H242)&amp;" -&gt; "&amp;$I242,"")))</f>
        <v/>
      </c>
      <c r="K242" t="inlineStr">
        <is>
          <t>JMU</t>
        </is>
      </c>
    </row>
    <row r="243">
      <c r="H243" t="inlineStr">
        <is>
          <t>TXST</t>
        </is>
      </c>
      <c r="J243">
        <f>IF($H243="","",IF(SUMPRODUCT(--(LOWER(TRIM($H$6:$H$481))=LOWER(TRIM($H243))),--($I$6:$I$481&lt;&gt;$I243))&gt;0,"AMBIGUOUS — MAPS TO MULTIPLE TEAMS",IF(COUNTIF($H$6:$H$481,$H243)&gt;1,"DUPLICATE x"&amp;COUNTIF($H$6:$H$481,$H243)&amp;" -&gt; "&amp;$I243,"")))</f>
        <v/>
      </c>
      <c r="K243" t="inlineStr">
        <is>
          <t>Louisiana</t>
        </is>
      </c>
    </row>
    <row r="244">
      <c r="H244" t="inlineStr">
        <is>
          <t>Texas State</t>
        </is>
      </c>
      <c r="J244">
        <f>IF($H244="","",IF(SUMPRODUCT(--(LOWER(TRIM($H$6:$H$481))=LOWER(TRIM($H244))),--($I$6:$I$481&lt;&gt;$I244))&gt;0,"AMBIGUOUS — MAPS TO MULTIPLE TEAMS",IF(COUNTIF($H$6:$H$481,$H244)&gt;1,"DUPLICATE x"&amp;COUNTIF($H$6:$H$481,$H244)&amp;" -&gt; "&amp;$I244,"")))</f>
        <v/>
      </c>
      <c r="K244" t="inlineStr">
        <is>
          <t>ULL</t>
        </is>
      </c>
    </row>
    <row r="245">
      <c r="H245" t="inlineStr">
        <is>
          <t>TX State</t>
        </is>
      </c>
      <c r="J245">
        <f>IF($H245="","",IF(SUMPRODUCT(--(LOWER(TRIM($H$6:$H$481))=LOWER(TRIM($H245))),--($I$6:$I$481&lt;&gt;$I245))&gt;0,"AMBIGUOUS — MAPS TO MULTIPLE TEAMS",IF(COUNTIF($H$6:$H$481,$H245)&gt;1,"DUPLICATE x"&amp;COUNTIF($H$6:$H$481,$H245)&amp;" -&gt; "&amp;$I245,"")))</f>
        <v/>
      </c>
      <c r="K245" t="inlineStr">
        <is>
          <t>Louisiana Tech</t>
        </is>
      </c>
    </row>
    <row r="246">
      <c r="H246" t="inlineStr">
        <is>
          <t>Bobcats</t>
        </is>
      </c>
      <c r="J246">
        <f>IF($H246="","",IF(SUMPRODUCT(--(LOWER(TRIM($H$6:$H$481))=LOWER(TRIM($H246))),--($I$6:$I$481&lt;&gt;$I246))&gt;0,"AMBIGUOUS — MAPS TO MULTIPLE TEAMS",IF(COUNTIF($H$6:$H$481,$H246)&gt;1,"DUPLICATE x"&amp;COUNTIF($H$6:$H$481,$H246)&amp;" -&gt; "&amp;$I246,"")))</f>
        <v/>
      </c>
      <c r="K246" t="inlineStr">
        <is>
          <t>LT</t>
        </is>
      </c>
    </row>
    <row r="247">
      <c r="H247" t="inlineStr">
        <is>
          <t>USU</t>
        </is>
      </c>
      <c r="J247">
        <f>IF($H247="","",IF(SUMPRODUCT(--(LOWER(TRIM($H$6:$H$481))=LOWER(TRIM($H247))),--($I$6:$I$481&lt;&gt;$I247))&gt;0,"AMBIGUOUS — MAPS TO MULTIPLE TEAMS",IF(COUNTIF($H$6:$H$481,$H247)&gt;1,"DUPLICATE x"&amp;COUNTIF($H$6:$H$481,$H247)&amp;" -&gt; "&amp;$I247,"")))</f>
        <v/>
      </c>
      <c r="K247" t="inlineStr">
        <is>
          <t>Marshall</t>
        </is>
      </c>
    </row>
    <row r="248">
      <c r="H248" t="inlineStr">
        <is>
          <t>Utah State</t>
        </is>
      </c>
      <c r="J248">
        <f>IF($H248="","",IF(SUMPRODUCT(--(LOWER(TRIM($H$6:$H$481))=LOWER(TRIM($H248))),--($I$6:$I$481&lt;&gt;$I248))&gt;0,"AMBIGUOUS — MAPS TO MULTIPLE TEAMS",IF(COUNTIF($H$6:$H$481,$H248)&gt;1,"DUPLICATE x"&amp;COUNTIF($H$6:$H$481,$H248)&amp;" -&gt; "&amp;$I248,"")))</f>
        <v/>
      </c>
      <c r="K248" t="inlineStr">
        <is>
          <t>MRSH</t>
        </is>
      </c>
    </row>
    <row r="249">
      <c r="H249" t="inlineStr">
        <is>
          <t>UTST</t>
        </is>
      </c>
      <c r="J249">
        <f>IF($H249="","",IF(SUMPRODUCT(--(LOWER(TRIM($H$6:$H$481))=LOWER(TRIM($H249))),--($I$6:$I$481&lt;&gt;$I249))&gt;0,"AMBIGUOUS — MAPS TO MULTIPLE TEAMS",IF(COUNTIF($H$6:$H$481,$H249)&gt;1,"DUPLICATE x"&amp;COUNTIF($H$6:$H$481,$H249)&amp;" -&gt; "&amp;$I249,"")))</f>
        <v/>
      </c>
      <c r="K249" t="inlineStr">
        <is>
          <t>Old Dominion</t>
        </is>
      </c>
    </row>
    <row r="250">
      <c r="H250" t="inlineStr">
        <is>
          <t>Aggies-USU</t>
        </is>
      </c>
      <c r="J250">
        <f>IF($H250="","",IF(SUMPRODUCT(--(LOWER(TRIM($H$6:$H$481))=LOWER(TRIM($H250))),--($I$6:$I$481&lt;&gt;$I250))&gt;0,"AMBIGUOUS — MAPS TO MULTIPLE TEAMS",IF(COUNTIF($H$6:$H$481,$H250)&gt;1,"DUPLICATE x"&amp;COUNTIF($H$6:$H$481,$H250)&amp;" -&gt; "&amp;$I250,"")))</f>
        <v/>
      </c>
      <c r="K250" t="inlineStr">
        <is>
          <t>ODU</t>
        </is>
      </c>
    </row>
    <row r="251">
      <c r="H251" t="inlineStr">
        <is>
          <t>WSU</t>
        </is>
      </c>
      <c r="J251">
        <f>IF($H251="","",IF(SUMPRODUCT(--(LOWER(TRIM($H$6:$H$481))=LOWER(TRIM($H251))),--($I$6:$I$481&lt;&gt;$I251))&gt;0,"AMBIGUOUS — MAPS TO MULTIPLE TEAMS",IF(COUNTIF($H$6:$H$481,$H251)&gt;1,"DUPLICATE x"&amp;COUNTIF($H$6:$H$481,$H251)&amp;" -&gt; "&amp;$I251,"")))</f>
        <v/>
      </c>
      <c r="K251" t="inlineStr">
        <is>
          <t>South Alabama</t>
        </is>
      </c>
    </row>
    <row r="252">
      <c r="H252" t="inlineStr">
        <is>
          <t>Washington State</t>
        </is>
      </c>
      <c r="J252">
        <f>IF($H252="","",IF(SUMPRODUCT(--(LOWER(TRIM($H$6:$H$481))=LOWER(TRIM($H252))),--($I$6:$I$481&lt;&gt;$I252))&gt;0,"AMBIGUOUS — MAPS TO MULTIPLE TEAMS",IF(COUNTIF($H$6:$H$481,$H252)&gt;1,"DUPLICATE x"&amp;COUNTIF($H$6:$H$481,$H252)&amp;" -&gt; "&amp;$I252,"")))</f>
        <v/>
      </c>
      <c r="K252" t="inlineStr">
        <is>
          <t>USA</t>
        </is>
      </c>
    </row>
    <row r="253">
      <c r="H253" t="inlineStr">
        <is>
          <t>Wazzu</t>
        </is>
      </c>
      <c r="J253">
        <f>IF($H253="","",IF(SUMPRODUCT(--(LOWER(TRIM($H$6:$H$481))=LOWER(TRIM($H253))),--($I$6:$I$481&lt;&gt;$I253))&gt;0,"AMBIGUOUS — MAPS TO MULTIPLE TEAMS",IF(COUNTIF($H$6:$H$481,$H253)&gt;1,"DUPLICATE x"&amp;COUNTIF($H$6:$H$481,$H253)&amp;" -&gt; "&amp;$I253,"")))</f>
        <v/>
      </c>
      <c r="K253" t="inlineStr">
        <is>
          <t>Southern Miss</t>
        </is>
      </c>
    </row>
    <row r="254">
      <c r="H254" t="inlineStr">
        <is>
          <t>Cougs</t>
        </is>
      </c>
      <c r="J254">
        <f>IF($H254="","",IF(SUMPRODUCT(--(LOWER(TRIM($H$6:$H$481))=LOWER(TRIM($H254))),--($I$6:$I$481&lt;&gt;$I254))&gt;0,"AMBIGUOUS — MAPS TO MULTIPLE TEAMS",IF(COUNTIF($H$6:$H$481,$H254)&gt;1,"DUPLICATE x"&amp;COUNTIF($H$6:$H$481,$H254)&amp;" -&gt; "&amp;$I254,"")))</f>
        <v/>
      </c>
      <c r="K254" t="inlineStr">
        <is>
          <t>USM</t>
        </is>
      </c>
    </row>
    <row r="255">
      <c r="H255" t="inlineStr">
        <is>
          <t>ARMY</t>
        </is>
      </c>
      <c r="J255">
        <f>IF($H255="","",IF(SUMPRODUCT(--(LOWER(TRIM($H$6:$H$481))=LOWER(TRIM($H255))),--($I$6:$I$481&lt;&gt;$I255))&gt;0,"AMBIGUOUS — MAPS TO MULTIPLE TEAMS",IF(COUNTIF($H$6:$H$481,$H255)&gt;1,"DUPLICATE x"&amp;COUNTIF($H$6:$H$481,$H255)&amp;" -&gt; "&amp;$I255,"")))</f>
        <v/>
      </c>
      <c r="K255" t="inlineStr">
        <is>
          <t>Troy</t>
        </is>
      </c>
    </row>
    <row r="256">
      <c r="H256" t="inlineStr">
        <is>
          <t>Black Knights</t>
        </is>
      </c>
      <c r="J256">
        <f>IF($H256="","",IF(SUMPRODUCT(--(LOWER(TRIM($H$6:$H$481))=LOWER(TRIM($H256))),--($I$6:$I$481&lt;&gt;$I256))&gt;0,"AMBIGUOUS — MAPS TO MULTIPLE TEAMS",IF(COUNTIF($H$6:$H$481,$H256)&gt;1,"DUPLICATE x"&amp;COUNTIF($H$6:$H$481,$H256)&amp;" -&gt; "&amp;$I256,"")))</f>
        <v/>
      </c>
      <c r="K256" t="inlineStr">
        <is>
          <t>ULM</t>
        </is>
      </c>
    </row>
    <row r="257">
      <c r="H257" t="inlineStr">
        <is>
          <t>West Point</t>
        </is>
      </c>
      <c r="J257">
        <f>IF($H257="","",IF(SUMPRODUCT(--(LOWER(TRIM($H$6:$H$481))=LOWER(TRIM($H257))),--($I$6:$I$481&lt;&gt;$I257))&gt;0,"AMBIGUOUS — MAPS TO MULTIPLE TEAMS",IF(COUNTIF($H$6:$H$481,$H257)&gt;1,"DUPLICATE x"&amp;COUNTIF($H$6:$H$481,$H257)&amp;" -&gt; "&amp;$I257,"")))</f>
        <v/>
      </c>
      <c r="K257" t="inlineStr">
        <is>
          <t>Notre Dame</t>
        </is>
      </c>
    </row>
    <row r="258">
      <c r="H258" t="inlineStr">
        <is>
          <t>CLT</t>
        </is>
      </c>
      <c r="J258">
        <f>IF($H258="","",IF(SUMPRODUCT(--(LOWER(TRIM($H$6:$H$481))=LOWER(TRIM($H258))),--($I$6:$I$481&lt;&gt;$I258))&gt;0,"AMBIGUOUS — MAPS TO MULTIPLE TEAMS",IF(COUNTIF($H$6:$H$481,$H258)&gt;1,"DUPLICATE x"&amp;COUNTIF($H$6:$H$481,$H258)&amp;" -&gt; "&amp;$I258,"")))</f>
        <v/>
      </c>
      <c r="K258" t="inlineStr">
        <is>
          <t>ND</t>
        </is>
      </c>
    </row>
    <row r="259">
      <c r="H259" t="inlineStr">
        <is>
          <t>Charlotte</t>
        </is>
      </c>
      <c r="J259">
        <f>IF($H259="","",IF(SUMPRODUCT(--(LOWER(TRIM($H$6:$H$481))=LOWER(TRIM($H259))),--($I$6:$I$481&lt;&gt;$I259))&gt;0,"AMBIGUOUS — MAPS TO MULTIPLE TEAMS",IF(COUNTIF($H$6:$H$481,$H259)&gt;1,"DUPLICATE x"&amp;COUNTIF($H$6:$H$481,$H259)&amp;" -&gt; "&amp;$I259,"")))</f>
        <v/>
      </c>
      <c r="K259" t="inlineStr">
        <is>
          <t>UConn</t>
        </is>
      </c>
    </row>
    <row r="260">
      <c r="H260" t="inlineStr">
        <is>
          <t>CHAR</t>
        </is>
      </c>
      <c r="J260">
        <f>IF($H260="","",IF(SUMPRODUCT(--(LOWER(TRIM($H$6:$H$481))=LOWER(TRIM($H260))),--($I$6:$I$481&lt;&gt;$I260))&gt;0,"AMBIGUOUS — MAPS TO MULTIPLE TEAMS",IF(COUNTIF($H$6:$H$481,$H260)&gt;1,"DUPLICATE x"&amp;COUNTIF($H$6:$H$481,$H260)&amp;" -&gt; "&amp;$I260,"")))</f>
        <v/>
      </c>
      <c r="K260" t="inlineStr">
        <is>
          <t>CONN</t>
        </is>
      </c>
    </row>
    <row r="261">
      <c r="H261" t="inlineStr">
        <is>
          <t>49ers</t>
        </is>
      </c>
      <c r="J261">
        <f>IF($H261="","",IF(SUMPRODUCT(--(LOWER(TRIM($H$6:$H$481))=LOWER(TRIM($H261))),--($I$6:$I$481&lt;&gt;$I261))&gt;0,"AMBIGUOUS — MAPS TO MULTIPLE TEAMS",IF(COUNTIF($H$6:$H$481,$H261)&gt;1,"DUPLICATE x"&amp;COUNTIF($H$6:$H$481,$H261)&amp;" -&gt; "&amp;$I261,"")))</f>
        <v/>
      </c>
      <c r="K261" t="inlineStr">
        <is>
          <t>Massachusetts</t>
        </is>
      </c>
    </row>
    <row r="262">
      <c r="H262" t="inlineStr">
        <is>
          <t>ECU</t>
        </is>
      </c>
      <c r="J262">
        <f>IF($H262="","",IF(SUMPRODUCT(--(LOWER(TRIM($H$6:$H$481))=LOWER(TRIM($H262))),--($I$6:$I$481&lt;&gt;$I262))&gt;0,"AMBIGUOUS — MAPS TO MULTIPLE TEAMS",IF(COUNTIF($H$6:$H$481,$H262)&gt;1,"DUPLICATE x"&amp;COUNTIF($H$6:$H$481,$H262)&amp;" -&gt; "&amp;$I262,"")))</f>
        <v/>
      </c>
      <c r="K262" t="inlineStr">
        <is>
          <t>Miami (Ohio)</t>
        </is>
      </c>
    </row>
    <row r="263">
      <c r="H263" t="inlineStr">
        <is>
          <t>East Carolina</t>
        </is>
      </c>
      <c r="J263">
        <f>IF($H263="","",IF(SUMPRODUCT(--(LOWER(TRIM($H$6:$H$481))=LOWER(TRIM($H263))),--($I$6:$I$481&lt;&gt;$I263))&gt;0,"AMBIGUOUS — MAPS TO MULTIPLE TEAMS",IF(COUNTIF($H$6:$H$481,$H263)&gt;1,"DUPLICATE x"&amp;COUNTIF($H$6:$H$481,$H263)&amp;" -&gt; "&amp;$I263,"")))</f>
        <v/>
      </c>
      <c r="K263" t="inlineStr">
        <is>
          <t>San Jose State</t>
        </is>
      </c>
    </row>
    <row r="264">
      <c r="H264" t="inlineStr">
        <is>
          <t>Pirates</t>
        </is>
      </c>
      <c r="J264">
        <f>IF($H264="","",IF(SUMPRODUCT(--(LOWER(TRIM($H$6:$H$481))=LOWER(TRIM($H264))),--($I$6:$I$481&lt;&gt;$I264))&gt;0,"AMBIGUOUS — MAPS TO MULTIPLE TEAMS",IF(COUNTIF($H$6:$H$481,$H264)&gt;1,"DUPLICATE x"&amp;COUNTIF($H$6:$H$481,$H264)&amp;" -&gt; "&amp;$I264,"")))</f>
        <v/>
      </c>
      <c r="K264" t="inlineStr">
        <is>
          <t>Hawaii</t>
        </is>
      </c>
    </row>
    <row r="265">
      <c r="H265" t="inlineStr">
        <is>
          <t>FAU</t>
        </is>
      </c>
      <c r="J265">
        <f>IF($H265="","",IF(SUMPRODUCT(--(LOWER(TRIM($H$6:$H$481))=LOWER(TRIM($H265))),--($I$6:$I$481&lt;&gt;$I265))&gt;0,"AMBIGUOUS — MAPS TO MULTIPLE TEAMS",IF(COUNTIF($H$6:$H$481,$H265)&gt;1,"DUPLICATE x"&amp;COUNTIF($H$6:$H$481,$H265)&amp;" -&gt; "&amp;$I265,"")))</f>
        <v/>
      </c>
      <c r="K265" t="inlineStr">
        <is>
          <t>Connecticut</t>
        </is>
      </c>
    </row>
    <row r="266">
      <c r="H266" t="inlineStr">
        <is>
          <t>Florida Atlantic</t>
        </is>
      </c>
      <c r="J266">
        <f>IF($H266="","",IF(SUMPRODUCT(--(LOWER(TRIM($H$6:$H$481))=LOWER(TRIM($H266))),--($I$6:$I$481&lt;&gt;$I266))&gt;0,"AMBIGUOUS — MAPS TO MULTIPLE TEAMS",IF(COUNTIF($H$6:$H$481,$H266)&gt;1,"DUPLICATE x"&amp;COUNTIF($H$6:$H$481,$H266)&amp;" -&gt; "&amp;$I266,"")))</f>
        <v/>
      </c>
      <c r="K266" t="inlineStr">
        <is>
          <t>Louisiana Monroe</t>
        </is>
      </c>
    </row>
    <row r="267">
      <c r="H267" t="inlineStr">
        <is>
          <t>Owls-FAU</t>
        </is>
      </c>
      <c r="J267">
        <f>IF($H267="","",IF(SUMPRODUCT(--(LOWER(TRIM($H$6:$H$481))=LOWER(TRIM($H267))),--($I$6:$I$481&lt;&gt;$I267))&gt;0,"AMBIGUOUS — MAPS TO MULTIPLE TEAMS",IF(COUNTIF($H$6:$H$481,$H267)&gt;1,"DUPLICATE x"&amp;COUNTIF($H$6:$H$481,$H267)&amp;" -&gt; "&amp;$I267,"")))</f>
        <v/>
      </c>
      <c r="K267" t="inlineStr">
        <is>
          <t>UL Monroe</t>
        </is>
      </c>
    </row>
    <row r="268">
      <c r="H268" t="inlineStr">
        <is>
          <t>MEM</t>
        </is>
      </c>
      <c r="J268">
        <f>IF($H268="","",IF(SUMPRODUCT(--(LOWER(TRIM($H$6:$H$481))=LOWER(TRIM($H268))),--($I$6:$I$481&lt;&gt;$I268))&gt;0,"AMBIGUOUS — MAPS TO MULTIPLE TEAMS",IF(COUNTIF($H$6:$H$481,$H268)&gt;1,"DUPLICATE x"&amp;COUNTIF($H$6:$H$481,$H268)&amp;" -&gt; "&amp;$I268,"")))</f>
        <v/>
      </c>
      <c r="K268" t="inlineStr">
        <is>
          <t>Louisiana-Monroe</t>
        </is>
      </c>
    </row>
    <row r="269">
      <c r="H269" t="inlineStr">
        <is>
          <t>Memphis</t>
        </is>
      </c>
      <c r="J269">
        <f>IF($H269="","",IF(SUMPRODUCT(--(LOWER(TRIM($H$6:$H$481))=LOWER(TRIM($H269))),--($I$6:$I$481&lt;&gt;$I269))&gt;0,"AMBIGUOUS — MAPS TO MULTIPLE TEAMS",IF(COUNTIF($H$6:$H$481,$H269)&gt;1,"DUPLICATE x"&amp;COUNTIF($H$6:$H$481,$H269)&amp;" -&gt; "&amp;$I269,"")))</f>
        <v/>
      </c>
      <c r="K269" t="inlineStr">
        <is>
          <t>App State</t>
        </is>
      </c>
    </row>
    <row r="270">
      <c r="H270" t="inlineStr">
        <is>
          <t>Tigers-MEM</t>
        </is>
      </c>
      <c r="J270">
        <f>IF($H270="","",IF(SUMPRODUCT(--(LOWER(TRIM($H$6:$H$481))=LOWER(TRIM($H270))),--($I$6:$I$481&lt;&gt;$I270))&gt;0,"AMBIGUOUS — MAPS TO MULTIPLE TEAMS",IF(COUNTIF($H$6:$H$481,$H270)&gt;1,"DUPLICATE x"&amp;COUNTIF($H$6:$H$481,$H270)&amp;" -&gt; "&amp;$I270,"")))</f>
        <v/>
      </c>
      <c r="K270" t="inlineStr">
        <is>
          <t>Sam Houston State</t>
        </is>
      </c>
    </row>
    <row r="271">
      <c r="H271" t="inlineStr">
        <is>
          <t>NAVY</t>
        </is>
      </c>
      <c r="J271">
        <f>IF($H271="","",IF(SUMPRODUCT(--(LOWER(TRIM($H$6:$H$481))=LOWER(TRIM($H271))),--($I$6:$I$481&lt;&gt;$I271))&gt;0,"AMBIGUOUS — MAPS TO MULTIPLE TEAMS",IF(COUNTIF($H$6:$H$481,$H271)&gt;1,"DUPLICATE x"&amp;COUNTIF($H$6:$H$481,$H271)&amp;" -&gt; "&amp;$I271,"")))</f>
        <v/>
      </c>
      <c r="K271" t="inlineStr">
        <is>
          <t>Southern Mississippi</t>
        </is>
      </c>
    </row>
    <row r="272">
      <c r="H272" t="inlineStr">
        <is>
          <t>Midshipmen</t>
        </is>
      </c>
      <c r="J272">
        <f>IF($H272="","",IF(SUMPRODUCT(--(LOWER(TRIM($H$6:$H$481))=LOWER(TRIM($H272))),--($I$6:$I$481&lt;&gt;$I272))&gt;0,"AMBIGUOUS — MAPS TO MULTIPLE TEAMS",IF(COUNTIF($H$6:$H$481,$H272)&gt;1,"DUPLICATE x"&amp;COUNTIF($H$6:$H$481,$H272)&amp;" -&gt; "&amp;$I272,"")))</f>
        <v/>
      </c>
      <c r="K272" t="inlineStr">
        <is>
          <t>Mississippi</t>
        </is>
      </c>
    </row>
    <row r="273">
      <c r="H273" t="inlineStr">
        <is>
          <t>UNT</t>
        </is>
      </c>
      <c r="J273">
        <f>IF($H273="","",IF(SUMPRODUCT(--(LOWER(TRIM($H$6:$H$481))=LOWER(TRIM($H273))),--($I$6:$I$481&lt;&gt;$I273))&gt;0,"AMBIGUOUS — MAPS TO MULTIPLE TEAMS",IF(COUNTIF($H$6:$H$481,$H273)&gt;1,"DUPLICATE x"&amp;COUNTIF($H$6:$H$481,$H273)&amp;" -&gt; "&amp;$I273,"")))</f>
        <v/>
      </c>
      <c r="K273" t="inlineStr">
        <is>
          <t>UT San Antonio</t>
        </is>
      </c>
    </row>
    <row r="274">
      <c r="H274" t="inlineStr">
        <is>
          <t>North Texas</t>
        </is>
      </c>
      <c r="J274">
        <f>IF($H274="","",IF(SUMPRODUCT(--(LOWER(TRIM($H$6:$H$481))=LOWER(TRIM($H274))),--($I$6:$I$481&lt;&gt;$I274))&gt;0,"AMBIGUOUS — MAPS TO MULTIPLE TEAMS",IF(COUNTIF($H$6:$H$481,$H274)&gt;1,"DUPLICATE x"&amp;COUNTIF($H$6:$H$481,$H274)&amp;" -&gt; "&amp;$I274,"")))</f>
        <v/>
      </c>
      <c r="K274" t="inlineStr">
        <is>
          <t>Texas-El Paso</t>
        </is>
      </c>
    </row>
    <row r="275">
      <c r="H275" t="inlineStr">
        <is>
          <t>Mean Green</t>
        </is>
      </c>
      <c r="J275">
        <f>IF($H275="","",IF(SUMPRODUCT(--(LOWER(TRIM($H$6:$H$481))=LOWER(TRIM($H275))),--($I$6:$I$481&lt;&gt;$I275))&gt;0,"AMBIGUOUS — MAPS TO MULTIPLE TEAMS",IF(COUNTIF($H$6:$H$481,$H275)&gt;1,"DUPLICATE x"&amp;COUNTIF($H$6:$H$481,$H275)&amp;" -&gt; "&amp;$I275,"")))</f>
        <v/>
      </c>
      <c r="K275" t="inlineStr">
        <is>
          <t>Florida International</t>
        </is>
      </c>
    </row>
    <row r="276">
      <c r="H276" t="inlineStr">
        <is>
          <t>RICE</t>
        </is>
      </c>
      <c r="J276">
        <f>IF($H276="","",IF(SUMPRODUCT(--(LOWER(TRIM($H$6:$H$481))=LOWER(TRIM($H276))),--($I$6:$I$481&lt;&gt;$I276))&gt;0,"AMBIGUOUS — MAPS TO MULTIPLE TEAMS",IF(COUNTIF($H$6:$H$481,$H276)&gt;1,"DUPLICATE x"&amp;COUNTIF($H$6:$H$481,$H276)&amp;" -&gt; "&amp;$I276,"")))</f>
        <v/>
      </c>
      <c r="K276" t="inlineStr">
        <is>
          <t>Middle Tennessee State</t>
        </is>
      </c>
    </row>
    <row r="277">
      <c r="H277" t="inlineStr">
        <is>
          <t>Owls-RICE</t>
        </is>
      </c>
      <c r="J277">
        <f>IF($H277="","",IF(SUMPRODUCT(--(LOWER(TRIM($H$6:$H$481))=LOWER(TRIM($H277))),--($I$6:$I$481&lt;&gt;$I277))&gt;0,"AMBIGUOUS — MAPS TO MULTIPLE TEAMS",IF(COUNTIF($H$6:$H$481,$H277)&gt;1,"DUPLICATE x"&amp;COUNTIF($H$6:$H$481,$H277)&amp;" -&gt; "&amp;$I277,"")))</f>
        <v/>
      </c>
      <c r="K277" t="inlineStr">
        <is>
          <t>UL Lafayette</t>
        </is>
      </c>
    </row>
    <row r="278">
      <c r="H278" t="inlineStr">
        <is>
          <t>USF</t>
        </is>
      </c>
      <c r="J278">
        <f>IF($H278="","",IF(SUMPRODUCT(--(LOWER(TRIM($H$6:$H$481))=LOWER(TRIM($H278))),--($I$6:$I$481&lt;&gt;$I278))&gt;0,"AMBIGUOUS — MAPS TO MULTIPLE TEAMS",IF(COUNTIF($H$6:$H$481,$H278)&gt;1,"DUPLICATE x"&amp;COUNTIF($H$6:$H$481,$H278)&amp;" -&gt; "&amp;$I278,"")))</f>
        <v/>
      </c>
      <c r="K278" t="inlineStr">
        <is>
          <t>Louisiana-Lafayette</t>
        </is>
      </c>
    </row>
    <row r="279">
      <c r="H279" t="inlineStr">
        <is>
          <t>South Florida</t>
        </is>
      </c>
      <c r="J279">
        <f>IF($H279="","",IF(SUMPRODUCT(--(LOWER(TRIM($H$6:$H$481))=LOWER(TRIM($H279))),--($I$6:$I$481&lt;&gt;$I279))&gt;0,"AMBIGUOUS — MAPS TO MULTIPLE TEAMS",IF(COUNTIF($H$6:$H$481,$H279)&gt;1,"DUPLICATE x"&amp;COUNTIF($H$6:$H$481,$H279)&amp;" -&gt; "&amp;$I279,"")))</f>
        <v/>
      </c>
      <c r="K279" t="inlineStr">
        <is>
          <t>North Carolina State</t>
        </is>
      </c>
    </row>
    <row r="280">
      <c r="H280" t="inlineStr">
        <is>
          <t>Bulls-USF</t>
        </is>
      </c>
      <c r="J280">
        <f>IF($H280="","",IF(SUMPRODUCT(--(LOWER(TRIM($H$6:$H$481))=LOWER(TRIM($H280))),--($I$6:$I$481&lt;&gt;$I280))&gt;0,"AMBIGUOUS — MAPS TO MULTIPLE TEAMS",IF(COUNTIF($H$6:$H$481,$H280)&gt;1,"DUPLICATE x"&amp;COUNTIF($H$6:$H$481,$H280)&amp;" -&gt; "&amp;$I280,"")))</f>
        <v/>
      </c>
      <c r="K280" t="inlineStr">
        <is>
          <t>Army West Point</t>
        </is>
      </c>
    </row>
    <row r="281">
      <c r="H281" t="inlineStr">
        <is>
          <t>TEM</t>
        </is>
      </c>
      <c r="J281">
        <f>IF($H281="","",IF(SUMPRODUCT(--(LOWER(TRIM($H$6:$H$481))=LOWER(TRIM($H281))),--($I$6:$I$481&lt;&gt;$I281))&gt;0,"AMBIGUOUS — MAPS TO MULTIPLE TEAMS",IF(COUNTIF($H$6:$H$481,$H281)&gt;1,"DUPLICATE x"&amp;COUNTIF($H$6:$H$481,$H281)&amp;" -&gt; "&amp;$I281,"")))</f>
        <v/>
      </c>
      <c r="K281" t="inlineStr">
        <is>
          <t>Alabama Crimson Tide</t>
        </is>
      </c>
    </row>
    <row r="282">
      <c r="H282" t="inlineStr">
        <is>
          <t>Temple</t>
        </is>
      </c>
      <c r="J282">
        <f>IF($H282="","",IF(SUMPRODUCT(--(LOWER(TRIM($H$6:$H$481))=LOWER(TRIM($H282))),--($I$6:$I$481&lt;&gt;$I282))&gt;0,"AMBIGUOUS — MAPS TO MULTIPLE TEAMS",IF(COUNTIF($H$6:$H$481,$H282)&gt;1,"DUPLICATE x"&amp;COUNTIF($H$6:$H$481,$H282)&amp;" -&gt; "&amp;$I282,"")))</f>
        <v/>
      </c>
      <c r="K282" t="inlineStr">
        <is>
          <t>Arkansas Razorbacks</t>
        </is>
      </c>
    </row>
    <row r="283">
      <c r="H283" t="inlineStr">
        <is>
          <t>Owls-TEM</t>
        </is>
      </c>
      <c r="J283">
        <f>IF($H283="","",IF(SUMPRODUCT(--(LOWER(TRIM($H$6:$H$481))=LOWER(TRIM($H283))),--($I$6:$I$481&lt;&gt;$I283))&gt;0,"AMBIGUOUS — MAPS TO MULTIPLE TEAMS",IF(COUNTIF($H$6:$H$481,$H283)&gt;1,"DUPLICATE x"&amp;COUNTIF($H$6:$H$481,$H283)&amp;" -&gt; "&amp;$I283,"")))</f>
        <v/>
      </c>
      <c r="K283" t="inlineStr">
        <is>
          <t>Auburn Tigers</t>
        </is>
      </c>
    </row>
    <row r="284">
      <c r="H284" t="inlineStr">
        <is>
          <t>TULN</t>
        </is>
      </c>
      <c r="J284">
        <f>IF($H284="","",IF(SUMPRODUCT(--(LOWER(TRIM($H$6:$H$481))=LOWER(TRIM($H284))),--($I$6:$I$481&lt;&gt;$I284))&gt;0,"AMBIGUOUS — MAPS TO MULTIPLE TEAMS",IF(COUNTIF($H$6:$H$481,$H284)&gt;1,"DUPLICATE x"&amp;COUNTIF($H$6:$H$481,$H284)&amp;" -&gt; "&amp;$I284,"")))</f>
        <v/>
      </c>
      <c r="K284" t="inlineStr">
        <is>
          <t>Florida Gators</t>
        </is>
      </c>
    </row>
    <row r="285">
      <c r="H285" t="inlineStr">
        <is>
          <t>Tulane</t>
        </is>
      </c>
      <c r="J285">
        <f>IF($H285="","",IF(SUMPRODUCT(--(LOWER(TRIM($H$6:$H$481))=LOWER(TRIM($H285))),--($I$6:$I$481&lt;&gt;$I285))&gt;0,"AMBIGUOUS — MAPS TO MULTIPLE TEAMS",IF(COUNTIF($H$6:$H$481,$H285)&gt;1,"DUPLICATE x"&amp;COUNTIF($H$6:$H$481,$H285)&amp;" -&gt; "&amp;$I285,"")))</f>
        <v/>
      </c>
      <c r="K285" t="inlineStr">
        <is>
          <t>Georgia Bulldogs</t>
        </is>
      </c>
    </row>
    <row r="286">
      <c r="H286" t="inlineStr">
        <is>
          <t>Green Wave</t>
        </is>
      </c>
      <c r="J286">
        <f>IF($H286="","",IF(SUMPRODUCT(--(LOWER(TRIM($H$6:$H$481))=LOWER(TRIM($H286))),--($I$6:$I$481&lt;&gt;$I286))&gt;0,"AMBIGUOUS — MAPS TO MULTIPLE TEAMS",IF(COUNTIF($H$6:$H$481,$H286)&gt;1,"DUPLICATE x"&amp;COUNTIF($H$6:$H$481,$H286)&amp;" -&gt; "&amp;$I286,"")))</f>
        <v/>
      </c>
      <c r="K286" t="inlineStr">
        <is>
          <t>Kentucky Wildcats</t>
        </is>
      </c>
    </row>
    <row r="287">
      <c r="H287" t="inlineStr">
        <is>
          <t>TLSA</t>
        </is>
      </c>
      <c r="J287">
        <f>IF($H287="","",IF(SUMPRODUCT(--(LOWER(TRIM($H$6:$H$481))=LOWER(TRIM($H287))),--($I$6:$I$481&lt;&gt;$I287))&gt;0,"AMBIGUOUS — MAPS TO MULTIPLE TEAMS",IF(COUNTIF($H$6:$H$481,$H287)&gt;1,"DUPLICATE x"&amp;COUNTIF($H$6:$H$481,$H287)&amp;" -&gt; "&amp;$I287,"")))</f>
        <v/>
      </c>
      <c r="K287" t="inlineStr">
        <is>
          <t>LSU Tigers</t>
        </is>
      </c>
    </row>
    <row r="288">
      <c r="H288" t="inlineStr">
        <is>
          <t>Tulsa</t>
        </is>
      </c>
      <c r="J288">
        <f>IF($H288="","",IF(SUMPRODUCT(--(LOWER(TRIM($H$6:$H$481))=LOWER(TRIM($H288))),--($I$6:$I$481&lt;&gt;$I288))&gt;0,"AMBIGUOUS — MAPS TO MULTIPLE TEAMS",IF(COUNTIF($H$6:$H$481,$H288)&gt;1,"DUPLICATE x"&amp;COUNTIF($H$6:$H$481,$H288)&amp;" -&gt; "&amp;$I288,"")))</f>
        <v/>
      </c>
      <c r="K288" t="inlineStr">
        <is>
          <t>Mississippi State Bulldogs</t>
        </is>
      </c>
    </row>
    <row r="289">
      <c r="H289" t="inlineStr">
        <is>
          <t>Golden Hurricane</t>
        </is>
      </c>
      <c r="J289">
        <f>IF($H289="","",IF(SUMPRODUCT(--(LOWER(TRIM($H$6:$H$481))=LOWER(TRIM($H289))),--($I$6:$I$481&lt;&gt;$I289))&gt;0,"AMBIGUOUS — MAPS TO MULTIPLE TEAMS",IF(COUNTIF($H$6:$H$481,$H289)&gt;1,"DUPLICATE x"&amp;COUNTIF($H$6:$H$481,$H289)&amp;" -&gt; "&amp;$I289,"")))</f>
        <v/>
      </c>
      <c r="K289" t="inlineStr">
        <is>
          <t>Missouri Tigers</t>
        </is>
      </c>
    </row>
    <row r="290">
      <c r="H290" t="inlineStr">
        <is>
          <t>UAB</t>
        </is>
      </c>
      <c r="J290">
        <f>IF($H290="","",IF(SUMPRODUCT(--(LOWER(TRIM($H$6:$H$481))=LOWER(TRIM($H290))),--($I$6:$I$481&lt;&gt;$I290))&gt;0,"AMBIGUOUS — MAPS TO MULTIPLE TEAMS",IF(COUNTIF($H$6:$H$481,$H290)&gt;1,"DUPLICATE x"&amp;COUNTIF($H$6:$H$481,$H290)&amp;" -&gt; "&amp;$I290,"")))</f>
        <v/>
      </c>
      <c r="K290" t="inlineStr">
        <is>
          <t>Oklahoma Sooners</t>
        </is>
      </c>
    </row>
    <row r="291">
      <c r="H291" t="inlineStr">
        <is>
          <t>Alabama-Birmingham</t>
        </is>
      </c>
      <c r="J291">
        <f>IF($H291="","",IF(SUMPRODUCT(--(LOWER(TRIM($H$6:$H$481))=LOWER(TRIM($H291))),--($I$6:$I$481&lt;&gt;$I291))&gt;0,"AMBIGUOUS — MAPS TO MULTIPLE TEAMS",IF(COUNTIF($H$6:$H$481,$H291)&gt;1,"DUPLICATE x"&amp;COUNTIF($H$6:$H$481,$H291)&amp;" -&gt; "&amp;$I291,"")))</f>
        <v/>
      </c>
      <c r="K291" t="inlineStr">
        <is>
          <t>Ole Miss Rebels</t>
        </is>
      </c>
    </row>
    <row r="292">
      <c r="H292" t="inlineStr">
        <is>
          <t>Blazers</t>
        </is>
      </c>
      <c r="J292">
        <f>IF($H292="","",IF(SUMPRODUCT(--(LOWER(TRIM($H$6:$H$481))=LOWER(TRIM($H292))),--($I$6:$I$481&lt;&gt;$I292))&gt;0,"AMBIGUOUS — MAPS TO MULTIPLE TEAMS",IF(COUNTIF($H$6:$H$481,$H292)&gt;1,"DUPLICATE x"&amp;COUNTIF($H$6:$H$481,$H292)&amp;" -&gt; "&amp;$I292,"")))</f>
        <v/>
      </c>
      <c r="K292" t="inlineStr">
        <is>
          <t>South Carolina Gamecocks</t>
        </is>
      </c>
    </row>
    <row r="293">
      <c r="H293" t="inlineStr">
        <is>
          <t>UTSA</t>
        </is>
      </c>
      <c r="J293">
        <f>IF($H293="","",IF(SUMPRODUCT(--(LOWER(TRIM($H$6:$H$481))=LOWER(TRIM($H293))),--($I$6:$I$481&lt;&gt;$I293))&gt;0,"AMBIGUOUS — MAPS TO MULTIPLE TEAMS",IF(COUNTIF($H$6:$H$481,$H293)&gt;1,"DUPLICATE x"&amp;COUNTIF($H$6:$H$481,$H293)&amp;" -&gt; "&amp;$I293,"")))</f>
        <v/>
      </c>
      <c r="K293" t="inlineStr">
        <is>
          <t>Tennessee Volunteers</t>
        </is>
      </c>
    </row>
    <row r="294">
      <c r="H294" t="inlineStr">
        <is>
          <t>UT San Antonio</t>
        </is>
      </c>
      <c r="J294">
        <f>IF($H294="","",IF(SUMPRODUCT(--(LOWER(TRIM($H$6:$H$481))=LOWER(TRIM($H294))),--($I$6:$I$481&lt;&gt;$I294))&gt;0,"AMBIGUOUS — MAPS TO MULTIPLE TEAMS",IF(COUNTIF($H$6:$H$481,$H294)&gt;1,"DUPLICATE x"&amp;COUNTIF($H$6:$H$481,$H294)&amp;" -&gt; "&amp;$I294,"")))</f>
        <v/>
      </c>
      <c r="K294" t="inlineStr">
        <is>
          <t>Texas Longhorns</t>
        </is>
      </c>
    </row>
    <row r="295">
      <c r="H295" t="inlineStr">
        <is>
          <t>Roadrunners</t>
        </is>
      </c>
      <c r="J295">
        <f>IF($H295="","",IF(SUMPRODUCT(--(LOWER(TRIM($H$6:$H$481))=LOWER(TRIM($H295))),--($I$6:$I$481&lt;&gt;$I295))&gt;0,"AMBIGUOUS — MAPS TO MULTIPLE TEAMS",IF(COUNTIF($H$6:$H$481,$H295)&gt;1,"DUPLICATE x"&amp;COUNTIF($H$6:$H$481,$H295)&amp;" -&gt; "&amp;$I295,"")))</f>
        <v/>
      </c>
      <c r="K295" t="inlineStr">
        <is>
          <t>Texas A&amp;M Aggies</t>
        </is>
      </c>
    </row>
    <row r="296">
      <c r="H296" t="inlineStr">
        <is>
          <t>DEL</t>
        </is>
      </c>
      <c r="J296">
        <f>IF($H296="","",IF(SUMPRODUCT(--(LOWER(TRIM($H$6:$H$481))=LOWER(TRIM($H296))),--($I$6:$I$481&lt;&gt;$I296))&gt;0,"AMBIGUOUS — MAPS TO MULTIPLE TEAMS",IF(COUNTIF($H$6:$H$481,$H296)&gt;1,"DUPLICATE x"&amp;COUNTIF($H$6:$H$481,$H296)&amp;" -&gt; "&amp;$I296,"")))</f>
        <v/>
      </c>
      <c r="K296" t="inlineStr">
        <is>
          <t>Vanderbilt Commodores</t>
        </is>
      </c>
    </row>
    <row r="297">
      <c r="H297" t="inlineStr">
        <is>
          <t>Delaware</t>
        </is>
      </c>
      <c r="J297">
        <f>IF($H297="","",IF(SUMPRODUCT(--(LOWER(TRIM($H$6:$H$481))=LOWER(TRIM($H297))),--($I$6:$I$481&lt;&gt;$I297))&gt;0,"AMBIGUOUS — MAPS TO MULTIPLE TEAMS",IF(COUNTIF($H$6:$H$481,$H297)&gt;1,"DUPLICATE x"&amp;COUNTIF($H$6:$H$481,$H297)&amp;" -&gt; "&amp;$I297,"")))</f>
        <v/>
      </c>
      <c r="K297" t="inlineStr">
        <is>
          <t>Illinois Fighting Illini</t>
        </is>
      </c>
    </row>
    <row r="298">
      <c r="H298" t="inlineStr">
        <is>
          <t>Blue Hens</t>
        </is>
      </c>
      <c r="J298">
        <f>IF($H298="","",IF(SUMPRODUCT(--(LOWER(TRIM($H$6:$H$481))=LOWER(TRIM($H298))),--($I$6:$I$481&lt;&gt;$I298))&gt;0,"AMBIGUOUS — MAPS TO MULTIPLE TEAMS",IF(COUNTIF($H$6:$H$481,$H298)&gt;1,"DUPLICATE x"&amp;COUNTIF($H$6:$H$481,$H298)&amp;" -&gt; "&amp;$I298,"")))</f>
        <v/>
      </c>
      <c r="K298" t="inlineStr">
        <is>
          <t>Indiana Hoosiers</t>
        </is>
      </c>
    </row>
    <row r="299">
      <c r="H299" t="inlineStr">
        <is>
          <t>FIU</t>
        </is>
      </c>
      <c r="J299">
        <f>IF($H299="","",IF(SUMPRODUCT(--(LOWER(TRIM($H$6:$H$481))=LOWER(TRIM($H299))),--($I$6:$I$481&lt;&gt;$I299))&gt;0,"AMBIGUOUS — MAPS TO MULTIPLE TEAMS",IF(COUNTIF($H$6:$H$481,$H299)&gt;1,"DUPLICATE x"&amp;COUNTIF($H$6:$H$481,$H299)&amp;" -&gt; "&amp;$I299,"")))</f>
        <v/>
      </c>
      <c r="K299" t="inlineStr">
        <is>
          <t>Iowa Hawkeyes</t>
        </is>
      </c>
    </row>
    <row r="300">
      <c r="H300" t="inlineStr">
        <is>
          <t>Florida International</t>
        </is>
      </c>
      <c r="J300">
        <f>IF($H300="","",IF(SUMPRODUCT(--(LOWER(TRIM($H$6:$H$481))=LOWER(TRIM($H300))),--($I$6:$I$481&lt;&gt;$I300))&gt;0,"AMBIGUOUS — MAPS TO MULTIPLE TEAMS",IF(COUNTIF($H$6:$H$481,$H300)&gt;1,"DUPLICATE x"&amp;COUNTIF($H$6:$H$481,$H300)&amp;" -&gt; "&amp;$I300,"")))</f>
        <v/>
      </c>
      <c r="K300" t="inlineStr">
        <is>
          <t>Maryland Terrapins</t>
        </is>
      </c>
    </row>
    <row r="301">
      <c r="H301" t="inlineStr">
        <is>
          <t>JVST</t>
        </is>
      </c>
      <c r="J301">
        <f>IF($H301="","",IF(SUMPRODUCT(--(LOWER(TRIM($H$6:$H$481))=LOWER(TRIM($H301))),--($I$6:$I$481&lt;&gt;$I301))&gt;0,"AMBIGUOUS — MAPS TO MULTIPLE TEAMS",IF(COUNTIF($H$6:$H$481,$H301)&gt;1,"DUPLICATE x"&amp;COUNTIF($H$6:$H$481,$H301)&amp;" -&gt; "&amp;$I301,"")))</f>
        <v/>
      </c>
      <c r="K301" t="inlineStr">
        <is>
          <t>Michigan Wolverines</t>
        </is>
      </c>
    </row>
    <row r="302">
      <c r="H302" t="inlineStr">
        <is>
          <t>Jacksonville State</t>
        </is>
      </c>
      <c r="J302">
        <f>IF($H302="","",IF(SUMPRODUCT(--(LOWER(TRIM($H$6:$H$481))=LOWER(TRIM($H302))),--($I$6:$I$481&lt;&gt;$I302))&gt;0,"AMBIGUOUS — MAPS TO MULTIPLE TEAMS",IF(COUNTIF($H$6:$H$481,$H302)&gt;1,"DUPLICATE x"&amp;COUNTIF($H$6:$H$481,$H302)&amp;" -&gt; "&amp;$I302,"")))</f>
        <v/>
      </c>
      <c r="K302" t="inlineStr">
        <is>
          <t>Michigan State Spartans</t>
        </is>
      </c>
    </row>
    <row r="303">
      <c r="H303" t="inlineStr">
        <is>
          <t>Jax State</t>
        </is>
      </c>
      <c r="J303">
        <f>IF($H303="","",IF(SUMPRODUCT(--(LOWER(TRIM($H$6:$H$481))=LOWER(TRIM($H303))),--($I$6:$I$481&lt;&gt;$I303))&gt;0,"AMBIGUOUS — MAPS TO MULTIPLE TEAMS",IF(COUNTIF($H$6:$H$481,$H303)&gt;1,"DUPLICATE x"&amp;COUNTIF($H$6:$H$481,$H303)&amp;" -&gt; "&amp;$I303,"")))</f>
        <v/>
      </c>
      <c r="K303" t="inlineStr">
        <is>
          <t>Minnesota Golden Gophers</t>
        </is>
      </c>
    </row>
    <row r="304">
      <c r="H304" t="inlineStr">
        <is>
          <t>JAXST</t>
        </is>
      </c>
      <c r="J304">
        <f>IF($H304="","",IF(SUMPRODUCT(--(LOWER(TRIM($H$6:$H$481))=LOWER(TRIM($H304))),--($I$6:$I$481&lt;&gt;$I304))&gt;0,"AMBIGUOUS — MAPS TO MULTIPLE TEAMS",IF(COUNTIF($H$6:$H$481,$H304)&gt;1,"DUPLICATE x"&amp;COUNTIF($H$6:$H$481,$H304)&amp;" -&gt; "&amp;$I304,"")))</f>
        <v/>
      </c>
      <c r="K304" t="inlineStr">
        <is>
          <t>Nebraska Cornhuskers</t>
        </is>
      </c>
    </row>
    <row r="305">
      <c r="H305" t="inlineStr">
        <is>
          <t>KENN</t>
        </is>
      </c>
      <c r="J305">
        <f>IF($H305="","",IF(SUMPRODUCT(--(LOWER(TRIM($H$6:$H$481))=LOWER(TRIM($H305))),--($I$6:$I$481&lt;&gt;$I305))&gt;0,"AMBIGUOUS — MAPS TO MULTIPLE TEAMS",IF(COUNTIF($H$6:$H$481,$H305)&gt;1,"DUPLICATE x"&amp;COUNTIF($H$6:$H$481,$H305)&amp;" -&gt; "&amp;$I305,"")))</f>
        <v/>
      </c>
      <c r="K305" t="inlineStr">
        <is>
          <t>Northwestern Wildcats</t>
        </is>
      </c>
    </row>
    <row r="306">
      <c r="H306" t="inlineStr">
        <is>
          <t>Kennesaw State</t>
        </is>
      </c>
      <c r="J306">
        <f>IF($H306="","",IF(SUMPRODUCT(--(LOWER(TRIM($H$6:$H$481))=LOWER(TRIM($H306))),--($I$6:$I$481&lt;&gt;$I306))&gt;0,"AMBIGUOUS — MAPS TO MULTIPLE TEAMS",IF(COUNTIF($H$6:$H$481,$H306)&gt;1,"DUPLICATE x"&amp;COUNTIF($H$6:$H$481,$H306)&amp;" -&gt; "&amp;$I306,"")))</f>
        <v/>
      </c>
      <c r="K306" t="inlineStr">
        <is>
          <t>Ohio State Buckeyes</t>
        </is>
      </c>
    </row>
    <row r="307">
      <c r="H307" t="inlineStr">
        <is>
          <t>Owls-KENN</t>
        </is>
      </c>
      <c r="J307">
        <f>IF($H307="","",IF(SUMPRODUCT(--(LOWER(TRIM($H$6:$H$481))=LOWER(TRIM($H307))),--($I$6:$I$481&lt;&gt;$I307))&gt;0,"AMBIGUOUS — MAPS TO MULTIPLE TEAMS",IF(COUNTIF($H$6:$H$481,$H307)&gt;1,"DUPLICATE x"&amp;COUNTIF($H$6:$H$481,$H307)&amp;" -&gt; "&amp;$I307,"")))</f>
        <v/>
      </c>
      <c r="K307" t="inlineStr">
        <is>
          <t>Oregon Ducks</t>
        </is>
      </c>
    </row>
    <row r="308">
      <c r="H308" t="inlineStr">
        <is>
          <t>LIB</t>
        </is>
      </c>
      <c r="J308">
        <f>IF($H308="","",IF(SUMPRODUCT(--(LOWER(TRIM($H$6:$H$481))=LOWER(TRIM($H308))),--($I$6:$I$481&lt;&gt;$I308))&gt;0,"AMBIGUOUS — MAPS TO MULTIPLE TEAMS",IF(COUNTIF($H$6:$H$481,$H308)&gt;1,"DUPLICATE x"&amp;COUNTIF($H$6:$H$481,$H308)&amp;" -&gt; "&amp;$I308,"")))</f>
        <v/>
      </c>
      <c r="K308" t="inlineStr">
        <is>
          <t>Penn State Nittany Lions</t>
        </is>
      </c>
    </row>
    <row r="309">
      <c r="H309" t="inlineStr">
        <is>
          <t>Liberty</t>
        </is>
      </c>
      <c r="J309">
        <f>IF($H309="","",IF(SUMPRODUCT(--(LOWER(TRIM($H$6:$H$481))=LOWER(TRIM($H309))),--($I$6:$I$481&lt;&gt;$I309))&gt;0,"AMBIGUOUS — MAPS TO MULTIPLE TEAMS",IF(COUNTIF($H$6:$H$481,$H309)&gt;1,"DUPLICATE x"&amp;COUNTIF($H$6:$H$481,$H309)&amp;" -&gt; "&amp;$I309,"")))</f>
        <v/>
      </c>
      <c r="K309" t="inlineStr">
        <is>
          <t>Purdue Boilermakers</t>
        </is>
      </c>
    </row>
    <row r="310">
      <c r="H310" t="inlineStr">
        <is>
          <t>Flames</t>
        </is>
      </c>
      <c r="J310">
        <f>IF($H310="","",IF(SUMPRODUCT(--(LOWER(TRIM($H$6:$H$481))=LOWER(TRIM($H310))),--($I$6:$I$481&lt;&gt;$I310))&gt;0,"AMBIGUOUS — MAPS TO MULTIPLE TEAMS",IF(COUNTIF($H$6:$H$481,$H310)&gt;1,"DUPLICATE x"&amp;COUNTIF($H$6:$H$481,$H310)&amp;" -&gt; "&amp;$I310,"")))</f>
        <v/>
      </c>
      <c r="K310" t="inlineStr">
        <is>
          <t>Rutgers Scarlet Knights</t>
        </is>
      </c>
    </row>
    <row r="311">
      <c r="H311" t="inlineStr">
        <is>
          <t>MTSU</t>
        </is>
      </c>
      <c r="J311">
        <f>IF($H311="","",IF(SUMPRODUCT(--(LOWER(TRIM($H$6:$H$481))=LOWER(TRIM($H311))),--($I$6:$I$481&lt;&gt;$I311))&gt;0,"AMBIGUOUS — MAPS TO MULTIPLE TEAMS",IF(COUNTIF($H$6:$H$481,$H311)&gt;1,"DUPLICATE x"&amp;COUNTIF($H$6:$H$481,$H311)&amp;" -&gt; "&amp;$I311,"")))</f>
        <v/>
      </c>
      <c r="K311" t="inlineStr">
        <is>
          <t>UCLA Bruins</t>
        </is>
      </c>
    </row>
    <row r="312">
      <c r="H312" t="inlineStr">
        <is>
          <t>Middle Tennessee</t>
        </is>
      </c>
      <c r="J312">
        <f>IF($H312="","",IF(SUMPRODUCT(--(LOWER(TRIM($H$6:$H$481))=LOWER(TRIM($H312))),--($I$6:$I$481&lt;&gt;$I312))&gt;0,"AMBIGUOUS — MAPS TO MULTIPLE TEAMS",IF(COUNTIF($H$6:$H$481,$H312)&gt;1,"DUPLICATE x"&amp;COUNTIF($H$6:$H$481,$H312)&amp;" -&gt; "&amp;$I312,"")))</f>
        <v/>
      </c>
      <c r="K312" t="inlineStr">
        <is>
          <t>USC Trojans</t>
        </is>
      </c>
    </row>
    <row r="313">
      <c r="H313" t="inlineStr">
        <is>
          <t>MT</t>
        </is>
      </c>
      <c r="J313">
        <f>IF($H313="","",IF(SUMPRODUCT(--(LOWER(TRIM($H$6:$H$481))=LOWER(TRIM($H313))),--($I$6:$I$481&lt;&gt;$I313))&gt;0,"AMBIGUOUS — MAPS TO MULTIPLE TEAMS",IF(COUNTIF($H$6:$H$481,$H313)&gt;1,"DUPLICATE x"&amp;COUNTIF($H$6:$H$481,$H313)&amp;" -&gt; "&amp;$I313,"")))</f>
        <v/>
      </c>
      <c r="K313" t="inlineStr">
        <is>
          <t>Washington Huskies</t>
        </is>
      </c>
    </row>
    <row r="314">
      <c r="H314" t="inlineStr">
        <is>
          <t>Blue Raiders</t>
        </is>
      </c>
      <c r="J314">
        <f>IF($H314="","",IF(SUMPRODUCT(--(LOWER(TRIM($H$6:$H$481))=LOWER(TRIM($H314))),--($I$6:$I$481&lt;&gt;$I314))&gt;0,"AMBIGUOUS — MAPS TO MULTIPLE TEAMS",IF(COUNTIF($H$6:$H$481,$H314)&gt;1,"DUPLICATE x"&amp;COUNTIF($H$6:$H$481,$H314)&amp;" -&gt; "&amp;$I314,"")))</f>
        <v/>
      </c>
      <c r="K314" t="inlineStr">
        <is>
          <t>Wisconsin Badgers</t>
        </is>
      </c>
    </row>
    <row r="315">
      <c r="H315" t="inlineStr">
        <is>
          <t>MOST</t>
        </is>
      </c>
      <c r="J315">
        <f>IF($H315="","",IF(SUMPRODUCT(--(LOWER(TRIM($H$6:$H$481))=LOWER(TRIM($H315))),--($I$6:$I$481&lt;&gt;$I315))&gt;0,"AMBIGUOUS — MAPS TO MULTIPLE TEAMS",IF(COUNTIF($H$6:$H$481,$H315)&gt;1,"DUPLICATE x"&amp;COUNTIF($H$6:$H$481,$H315)&amp;" -&gt; "&amp;$I315,"")))</f>
        <v/>
      </c>
      <c r="K315" t="inlineStr">
        <is>
          <t>Arizona Wildcats</t>
        </is>
      </c>
    </row>
    <row r="316">
      <c r="H316" t="inlineStr">
        <is>
          <t>Missouri State</t>
        </is>
      </c>
      <c r="J316">
        <f>IF($H316="","",IF(SUMPRODUCT(--(LOWER(TRIM($H$6:$H$481))=LOWER(TRIM($H316))),--($I$6:$I$481&lt;&gt;$I316))&gt;0,"AMBIGUOUS — MAPS TO MULTIPLE TEAMS",IF(COUNTIF($H$6:$H$481,$H316)&gt;1,"DUPLICATE x"&amp;COUNTIF($H$6:$H$481,$H316)&amp;" -&gt; "&amp;$I316,"")))</f>
        <v/>
      </c>
      <c r="K316" t="inlineStr">
        <is>
          <t>Arizona State Sun Devils</t>
        </is>
      </c>
    </row>
    <row r="317">
      <c r="H317" t="inlineStr">
        <is>
          <t>Mo State</t>
        </is>
      </c>
      <c r="J317">
        <f>IF($H317="","",IF(SUMPRODUCT(--(LOWER(TRIM($H$6:$H$481))=LOWER(TRIM($H317))),--($I$6:$I$481&lt;&gt;$I317))&gt;0,"AMBIGUOUS — MAPS TO MULTIPLE TEAMS",IF(COUNTIF($H$6:$H$481,$H317)&gt;1,"DUPLICATE x"&amp;COUNTIF($H$6:$H$481,$H317)&amp;" -&gt; "&amp;$I317,"")))</f>
        <v/>
      </c>
      <c r="K317" t="inlineStr">
        <is>
          <t>Baylor Bears</t>
        </is>
      </c>
    </row>
    <row r="318">
      <c r="H318" t="inlineStr">
        <is>
          <t>Bears-MOST</t>
        </is>
      </c>
      <c r="J318">
        <f>IF($H318="","",IF(SUMPRODUCT(--(LOWER(TRIM($H$6:$H$481))=LOWER(TRIM($H318))),--($I$6:$I$481&lt;&gt;$I318))&gt;0,"AMBIGUOUS — MAPS TO MULTIPLE TEAMS",IF(COUNTIF($H$6:$H$481,$H318)&gt;1,"DUPLICATE x"&amp;COUNTIF($H$6:$H$481,$H318)&amp;" -&gt; "&amp;$I318,"")))</f>
        <v/>
      </c>
      <c r="K318" t="inlineStr">
        <is>
          <t>BYU Cougars</t>
        </is>
      </c>
    </row>
    <row r="319">
      <c r="H319" t="inlineStr">
        <is>
          <t>NMSU</t>
        </is>
      </c>
      <c r="J319">
        <f>IF($H319="","",IF(SUMPRODUCT(--(LOWER(TRIM($H$6:$H$481))=LOWER(TRIM($H319))),--($I$6:$I$481&lt;&gt;$I319))&gt;0,"AMBIGUOUS — MAPS TO MULTIPLE TEAMS",IF(COUNTIF($H$6:$H$481,$H319)&gt;1,"DUPLICATE x"&amp;COUNTIF($H$6:$H$481,$H319)&amp;" -&gt; "&amp;$I319,"")))</f>
        <v/>
      </c>
      <c r="K319" t="inlineStr">
        <is>
          <t>Cincinnati Bearcats</t>
        </is>
      </c>
    </row>
    <row r="320">
      <c r="H320" t="inlineStr">
        <is>
          <t>New Mexico State</t>
        </is>
      </c>
      <c r="J320">
        <f>IF($H320="","",IF(SUMPRODUCT(--(LOWER(TRIM($H$6:$H$481))=LOWER(TRIM($H320))),--($I$6:$I$481&lt;&gt;$I320))&gt;0,"AMBIGUOUS — MAPS TO MULTIPLE TEAMS",IF(COUNTIF($H$6:$H$481,$H320)&gt;1,"DUPLICATE x"&amp;COUNTIF($H$6:$H$481,$H320)&amp;" -&gt; "&amp;$I320,"")))</f>
        <v/>
      </c>
      <c r="K320" t="inlineStr">
        <is>
          <t>Colorado Buffaloes</t>
        </is>
      </c>
    </row>
    <row r="321">
      <c r="H321" t="inlineStr">
        <is>
          <t>NM State</t>
        </is>
      </c>
      <c r="J321">
        <f>IF($H321="","",IF(SUMPRODUCT(--(LOWER(TRIM($H$6:$H$481))=LOWER(TRIM($H321))),--($I$6:$I$481&lt;&gt;$I321))&gt;0,"AMBIGUOUS — MAPS TO MULTIPLE TEAMS",IF(COUNTIF($H$6:$H$481,$H321)&gt;1,"DUPLICATE x"&amp;COUNTIF($H$6:$H$481,$H321)&amp;" -&gt; "&amp;$I321,"")))</f>
        <v/>
      </c>
      <c r="K321" t="inlineStr">
        <is>
          <t>Houston Cougars</t>
        </is>
      </c>
    </row>
    <row r="322">
      <c r="H322" t="inlineStr">
        <is>
          <t>Aggies-NMSU</t>
        </is>
      </c>
      <c r="J322">
        <f>IF($H322="","",IF(SUMPRODUCT(--(LOWER(TRIM($H$6:$H$481))=LOWER(TRIM($H322))),--($I$6:$I$481&lt;&gt;$I322))&gt;0,"AMBIGUOUS — MAPS TO MULTIPLE TEAMS",IF(COUNTIF($H$6:$H$481,$H322)&gt;1,"DUPLICATE x"&amp;COUNTIF($H$6:$H$481,$H322)&amp;" -&gt; "&amp;$I322,"")))</f>
        <v/>
      </c>
      <c r="K322" t="inlineStr">
        <is>
          <t>Iowa State Cyclones</t>
        </is>
      </c>
    </row>
    <row r="323">
      <c r="H323" t="inlineStr">
        <is>
          <t>SHSU</t>
        </is>
      </c>
      <c r="J323">
        <f>IF($H323="","",IF(SUMPRODUCT(--(LOWER(TRIM($H$6:$H$481))=LOWER(TRIM($H323))),--($I$6:$I$481&lt;&gt;$I323))&gt;0,"AMBIGUOUS — MAPS TO MULTIPLE TEAMS",IF(COUNTIF($H$6:$H$481,$H323)&gt;1,"DUPLICATE x"&amp;COUNTIF($H$6:$H$481,$H323)&amp;" -&gt; "&amp;$I323,"")))</f>
        <v/>
      </c>
      <c r="K323" t="inlineStr">
        <is>
          <t>Kansas Jayhawks</t>
        </is>
      </c>
    </row>
    <row r="324">
      <c r="H324" t="inlineStr">
        <is>
          <t>Sam Houston</t>
        </is>
      </c>
      <c r="J324">
        <f>IF($H324="","",IF(SUMPRODUCT(--(LOWER(TRIM($H$6:$H$481))=LOWER(TRIM($H324))),--($I$6:$I$481&lt;&gt;$I324))&gt;0,"AMBIGUOUS — MAPS TO MULTIPLE TEAMS",IF(COUNTIF($H$6:$H$481,$H324)&gt;1,"DUPLICATE x"&amp;COUNTIF($H$6:$H$481,$H324)&amp;" -&gt; "&amp;$I324,"")))</f>
        <v/>
      </c>
      <c r="K324" t="inlineStr">
        <is>
          <t>Kansas State Wildcats</t>
        </is>
      </c>
    </row>
    <row r="325">
      <c r="H325" t="inlineStr">
        <is>
          <t>Sam Houston State</t>
        </is>
      </c>
      <c r="J325">
        <f>IF($H325="","",IF(SUMPRODUCT(--(LOWER(TRIM($H$6:$H$481))=LOWER(TRIM($H325))),--($I$6:$I$481&lt;&gt;$I325))&gt;0,"AMBIGUOUS — MAPS TO MULTIPLE TEAMS",IF(COUNTIF($H$6:$H$481,$H325)&gt;1,"DUPLICATE x"&amp;COUNTIF($H$6:$H$481,$H325)&amp;" -&gt; "&amp;$I325,"")))</f>
        <v/>
      </c>
      <c r="K325" t="inlineStr">
        <is>
          <t>Oklahoma State Cowboys</t>
        </is>
      </c>
    </row>
    <row r="326">
      <c r="H326" t="inlineStr">
        <is>
          <t>Bearkats</t>
        </is>
      </c>
      <c r="J326">
        <f>IF($H326="","",IF(SUMPRODUCT(--(LOWER(TRIM($H$6:$H$481))=LOWER(TRIM($H326))),--($I$6:$I$481&lt;&gt;$I326))&gt;0,"AMBIGUOUS — MAPS TO MULTIPLE TEAMS",IF(COUNTIF($H$6:$H$481,$H326)&gt;1,"DUPLICATE x"&amp;COUNTIF($H$6:$H$481,$H326)&amp;" -&gt; "&amp;$I326,"")))</f>
        <v/>
      </c>
      <c r="K326" t="inlineStr">
        <is>
          <t>TCU Horned Frogs</t>
        </is>
      </c>
    </row>
    <row r="327">
      <c r="H327" t="inlineStr">
        <is>
          <t>WKU</t>
        </is>
      </c>
      <c r="J327">
        <f>IF($H327="","",IF(SUMPRODUCT(--(LOWER(TRIM($H$6:$H$481))=LOWER(TRIM($H327))),--($I$6:$I$481&lt;&gt;$I327))&gt;0,"AMBIGUOUS — MAPS TO MULTIPLE TEAMS",IF(COUNTIF($H$6:$H$481,$H327)&gt;1,"DUPLICATE x"&amp;COUNTIF($H$6:$H$481,$H327)&amp;" -&gt; "&amp;$I327,"")))</f>
        <v/>
      </c>
      <c r="K327" t="inlineStr">
        <is>
          <t>Texas Tech Red Raiders</t>
        </is>
      </c>
    </row>
    <row r="328">
      <c r="H328" t="inlineStr">
        <is>
          <t>Western Kentucky</t>
        </is>
      </c>
      <c r="J328">
        <f>IF($H328="","",IF(SUMPRODUCT(--(LOWER(TRIM($H$6:$H$481))=LOWER(TRIM($H328))),--($I$6:$I$481&lt;&gt;$I328))&gt;0,"AMBIGUOUS — MAPS TO MULTIPLE TEAMS",IF(COUNTIF($H$6:$H$481,$H328)&gt;1,"DUPLICATE x"&amp;COUNTIF($H$6:$H$481,$H328)&amp;" -&gt; "&amp;$I328,"")))</f>
        <v/>
      </c>
      <c r="K328" t="inlineStr">
        <is>
          <t>UCF Knights</t>
        </is>
      </c>
    </row>
    <row r="329">
      <c r="H329" t="inlineStr">
        <is>
          <t>Hilltoppers</t>
        </is>
      </c>
      <c r="J329">
        <f>IF($H329="","",IF(SUMPRODUCT(--(LOWER(TRIM($H$6:$H$481))=LOWER(TRIM($H329))),--($I$6:$I$481&lt;&gt;$I329))&gt;0,"AMBIGUOUS — MAPS TO MULTIPLE TEAMS",IF(COUNTIF($H$6:$H$481,$H329)&gt;1,"DUPLICATE x"&amp;COUNTIF($H$6:$H$481,$H329)&amp;" -&gt; "&amp;$I329,"")))</f>
        <v/>
      </c>
      <c r="K329" t="inlineStr">
        <is>
          <t>Utah Utes</t>
        </is>
      </c>
    </row>
    <row r="330">
      <c r="H330" t="inlineStr">
        <is>
          <t>AKR</t>
        </is>
      </c>
      <c r="J330">
        <f>IF($H330="","",IF(SUMPRODUCT(--(LOWER(TRIM($H$6:$H$481))=LOWER(TRIM($H330))),--($I$6:$I$481&lt;&gt;$I330))&gt;0,"AMBIGUOUS — MAPS TO MULTIPLE TEAMS",IF(COUNTIF($H$6:$H$481,$H330)&gt;1,"DUPLICATE x"&amp;COUNTIF($H$6:$H$481,$H330)&amp;" -&gt; "&amp;$I330,"")))</f>
        <v/>
      </c>
      <c r="K330" t="inlineStr">
        <is>
          <t>West Virginia Mountaineers</t>
        </is>
      </c>
    </row>
    <row r="331">
      <c r="H331" t="inlineStr">
        <is>
          <t>Akron</t>
        </is>
      </c>
      <c r="J331">
        <f>IF($H331="","",IF(SUMPRODUCT(--(LOWER(TRIM($H$6:$H$481))=LOWER(TRIM($H331))),--($I$6:$I$481&lt;&gt;$I331))&gt;0,"AMBIGUOUS — MAPS TO MULTIPLE TEAMS",IF(COUNTIF($H$6:$H$481,$H331)&gt;1,"DUPLICATE x"&amp;COUNTIF($H$6:$H$481,$H331)&amp;" -&gt; "&amp;$I331,"")))</f>
        <v/>
      </c>
      <c r="K331" t="inlineStr">
        <is>
          <t>Boston College Eagles</t>
        </is>
      </c>
    </row>
    <row r="332">
      <c r="H332" t="inlineStr">
        <is>
          <t>Zips</t>
        </is>
      </c>
      <c r="J332">
        <f>IF($H332="","",IF(SUMPRODUCT(--(LOWER(TRIM($H$6:$H$481))=LOWER(TRIM($H332))),--($I$6:$I$481&lt;&gt;$I332))&gt;0,"AMBIGUOUS — MAPS TO MULTIPLE TEAMS",IF(COUNTIF($H$6:$H$481,$H332)&gt;1,"DUPLICATE x"&amp;COUNTIF($H$6:$H$481,$H332)&amp;" -&gt; "&amp;$I332,"")))</f>
        <v/>
      </c>
      <c r="K332" t="inlineStr">
        <is>
          <t>California Golden Bears</t>
        </is>
      </c>
    </row>
    <row r="333">
      <c r="H333" t="inlineStr">
        <is>
          <t>BALL</t>
        </is>
      </c>
      <c r="J333">
        <f>IF($H333="","",IF(SUMPRODUCT(--(LOWER(TRIM($H$6:$H$481))=LOWER(TRIM($H333))),--($I$6:$I$481&lt;&gt;$I333))&gt;0,"AMBIGUOUS — MAPS TO MULTIPLE TEAMS",IF(COUNTIF($H$6:$H$481,$H333)&gt;1,"DUPLICATE x"&amp;COUNTIF($H$6:$H$481,$H333)&amp;" -&gt; "&amp;$I333,"")))</f>
        <v/>
      </c>
      <c r="K333" t="inlineStr">
        <is>
          <t>Clemson Tigers</t>
        </is>
      </c>
    </row>
    <row r="334">
      <c r="H334" t="inlineStr">
        <is>
          <t>Ball State</t>
        </is>
      </c>
      <c r="J334">
        <f>IF($H334="","",IF(SUMPRODUCT(--(LOWER(TRIM($H$6:$H$481))=LOWER(TRIM($H334))),--($I$6:$I$481&lt;&gt;$I334))&gt;0,"AMBIGUOUS — MAPS TO MULTIPLE TEAMS",IF(COUNTIF($H$6:$H$481,$H334)&gt;1,"DUPLICATE x"&amp;COUNTIF($H$6:$H$481,$H334)&amp;" -&gt; "&amp;$I334,"")))</f>
        <v/>
      </c>
      <c r="K334" t="inlineStr">
        <is>
          <t>Duke Blue Devils</t>
        </is>
      </c>
    </row>
    <row r="335">
      <c r="H335" t="inlineStr">
        <is>
          <t>Cardinals-BALL</t>
        </is>
      </c>
      <c r="J335">
        <f>IF($H335="","",IF(SUMPRODUCT(--(LOWER(TRIM($H$6:$H$481))=LOWER(TRIM($H335))),--($I$6:$I$481&lt;&gt;$I335))&gt;0,"AMBIGUOUS — MAPS TO MULTIPLE TEAMS",IF(COUNTIF($H$6:$H$481,$H335)&gt;1,"DUPLICATE x"&amp;COUNTIF($H$6:$H$481,$H335)&amp;" -&gt; "&amp;$I335,"")))</f>
        <v/>
      </c>
      <c r="K335" t="inlineStr">
        <is>
          <t>Florida State Seminoles</t>
        </is>
      </c>
    </row>
    <row r="336">
      <c r="H336" t="inlineStr">
        <is>
          <t>BGSU</t>
        </is>
      </c>
      <c r="J336">
        <f>IF($H336="","",IF(SUMPRODUCT(--(LOWER(TRIM($H$6:$H$481))=LOWER(TRIM($H336))),--($I$6:$I$481&lt;&gt;$I336))&gt;0,"AMBIGUOUS — MAPS TO MULTIPLE TEAMS",IF(COUNTIF($H$6:$H$481,$H336)&gt;1,"DUPLICATE x"&amp;COUNTIF($H$6:$H$481,$H336)&amp;" -&gt; "&amp;$I336,"")))</f>
        <v/>
      </c>
      <c r="K336" t="inlineStr">
        <is>
          <t>Georgia Tech Yellow Jackets</t>
        </is>
      </c>
    </row>
    <row r="337">
      <c r="H337" t="inlineStr">
        <is>
          <t>Bowling Green</t>
        </is>
      </c>
      <c r="J337">
        <f>IF($H337="","",IF(SUMPRODUCT(--(LOWER(TRIM($H$6:$H$481))=LOWER(TRIM($H337))),--($I$6:$I$481&lt;&gt;$I337))&gt;0,"AMBIGUOUS — MAPS TO MULTIPLE TEAMS",IF(COUNTIF($H$6:$H$481,$H337)&gt;1,"DUPLICATE x"&amp;COUNTIF($H$6:$H$481,$H337)&amp;" -&gt; "&amp;$I337,"")))</f>
        <v/>
      </c>
      <c r="K337" t="inlineStr">
        <is>
          <t>Louisville Cardinals</t>
        </is>
      </c>
    </row>
    <row r="338">
      <c r="H338" t="inlineStr">
        <is>
          <t>BG</t>
        </is>
      </c>
      <c r="J338">
        <f>IF($H338="","",IF(SUMPRODUCT(--(LOWER(TRIM($H$6:$H$481))=LOWER(TRIM($H338))),--($I$6:$I$481&lt;&gt;$I338))&gt;0,"AMBIGUOUS — MAPS TO MULTIPLE TEAMS",IF(COUNTIF($H$6:$H$481,$H338)&gt;1,"DUPLICATE x"&amp;COUNTIF($H$6:$H$481,$H338)&amp;" -&gt; "&amp;$I338,"")))</f>
        <v/>
      </c>
      <c r="K338" t="inlineStr">
        <is>
          <t>Miami Hurricanes</t>
        </is>
      </c>
    </row>
    <row r="339">
      <c r="H339" t="inlineStr">
        <is>
          <t>Falcons-BGSU</t>
        </is>
      </c>
      <c r="J339">
        <f>IF($H339="","",IF(SUMPRODUCT(--(LOWER(TRIM($H$6:$H$481))=LOWER(TRIM($H339))),--($I$6:$I$481&lt;&gt;$I339))&gt;0,"AMBIGUOUS — MAPS TO MULTIPLE TEAMS",IF(COUNTIF($H$6:$H$481,$H339)&gt;1,"DUPLICATE x"&amp;COUNTIF($H$6:$H$481,$H339)&amp;" -&gt; "&amp;$I339,"")))</f>
        <v/>
      </c>
      <c r="K339" t="inlineStr">
        <is>
          <t>NC State Wolfpack</t>
        </is>
      </c>
    </row>
    <row r="340">
      <c r="H340" t="inlineStr">
        <is>
          <t>BUFF</t>
        </is>
      </c>
      <c r="J340">
        <f>IF($H340="","",IF(SUMPRODUCT(--(LOWER(TRIM($H$6:$H$481))=LOWER(TRIM($H340))),--($I$6:$I$481&lt;&gt;$I340))&gt;0,"AMBIGUOUS — MAPS TO MULTIPLE TEAMS",IF(COUNTIF($H$6:$H$481,$H340)&gt;1,"DUPLICATE x"&amp;COUNTIF($H$6:$H$481,$H340)&amp;" -&gt; "&amp;$I340,"")))</f>
        <v/>
      </c>
      <c r="K340" t="inlineStr">
        <is>
          <t>North Carolina Tar Heels</t>
        </is>
      </c>
    </row>
    <row r="341">
      <c r="H341" t="inlineStr">
        <is>
          <t>Buffalo</t>
        </is>
      </c>
      <c r="J341">
        <f>IF($H341="","",IF(SUMPRODUCT(--(LOWER(TRIM($H$6:$H$481))=LOWER(TRIM($H341))),--($I$6:$I$481&lt;&gt;$I341))&gt;0,"AMBIGUOUS — MAPS TO MULTIPLE TEAMS",IF(COUNTIF($H$6:$H$481,$H341)&gt;1,"DUPLICATE x"&amp;COUNTIF($H$6:$H$481,$H341)&amp;" -&gt; "&amp;$I341,"")))</f>
        <v/>
      </c>
      <c r="K341" t="inlineStr">
        <is>
          <t>Pittsburgh Panthers</t>
        </is>
      </c>
    </row>
    <row r="342">
      <c r="H342" t="inlineStr">
        <is>
          <t>UB</t>
        </is>
      </c>
      <c r="J342">
        <f>IF($H342="","",IF(SUMPRODUCT(--(LOWER(TRIM($H$6:$H$481))=LOWER(TRIM($H342))),--($I$6:$I$481&lt;&gt;$I342))&gt;0,"AMBIGUOUS — MAPS TO MULTIPLE TEAMS",IF(COUNTIF($H$6:$H$481,$H342)&gt;1,"DUPLICATE x"&amp;COUNTIF($H$6:$H$481,$H342)&amp;" -&gt; "&amp;$I342,"")))</f>
        <v/>
      </c>
      <c r="K342" t="inlineStr">
        <is>
          <t>SMU Mustangs</t>
        </is>
      </c>
    </row>
    <row r="343">
      <c r="H343" t="inlineStr">
        <is>
          <t>Bulls-BUFF</t>
        </is>
      </c>
      <c r="J343">
        <f>IF($H343="","",IF(SUMPRODUCT(--(LOWER(TRIM($H$6:$H$481))=LOWER(TRIM($H343))),--($I$6:$I$481&lt;&gt;$I343))&gt;0,"AMBIGUOUS — MAPS TO MULTIPLE TEAMS",IF(COUNTIF($H$6:$H$481,$H343)&gt;1,"DUPLICATE x"&amp;COUNTIF($H$6:$H$481,$H343)&amp;" -&gt; "&amp;$I343,"")))</f>
        <v/>
      </c>
      <c r="K343" t="inlineStr">
        <is>
          <t>Stanford Cardinal</t>
        </is>
      </c>
    </row>
    <row r="344">
      <c r="H344" t="inlineStr">
        <is>
          <t>CMU</t>
        </is>
      </c>
      <c r="J344">
        <f>IF($H344="","",IF(SUMPRODUCT(--(LOWER(TRIM($H$6:$H$481))=LOWER(TRIM($H344))),--($I$6:$I$481&lt;&gt;$I344))&gt;0,"AMBIGUOUS — MAPS TO MULTIPLE TEAMS",IF(COUNTIF($H$6:$H$481,$H344)&gt;1,"DUPLICATE x"&amp;COUNTIF($H$6:$H$481,$H344)&amp;" -&gt; "&amp;$I344,"")))</f>
        <v/>
      </c>
      <c r="K344" t="inlineStr">
        <is>
          <t>Syracuse Orange</t>
        </is>
      </c>
    </row>
    <row r="345">
      <c r="H345" t="inlineStr">
        <is>
          <t>Central Michigan</t>
        </is>
      </c>
      <c r="J345">
        <f>IF($H345="","",IF(SUMPRODUCT(--(LOWER(TRIM($H$6:$H$481))=LOWER(TRIM($H345))),--($I$6:$I$481&lt;&gt;$I345))&gt;0,"AMBIGUOUS — MAPS TO MULTIPLE TEAMS",IF(COUNTIF($H$6:$H$481,$H345)&gt;1,"DUPLICATE x"&amp;COUNTIF($H$6:$H$481,$H345)&amp;" -&gt; "&amp;$I345,"")))</f>
        <v/>
      </c>
      <c r="K345" t="inlineStr">
        <is>
          <t>Virginia Cavaliers</t>
        </is>
      </c>
    </row>
    <row r="346">
      <c r="H346" t="inlineStr">
        <is>
          <t>Chippewas</t>
        </is>
      </c>
      <c r="J346">
        <f>IF($H346="","",IF(SUMPRODUCT(--(LOWER(TRIM($H$6:$H$481))=LOWER(TRIM($H346))),--($I$6:$I$481&lt;&gt;$I346))&gt;0,"AMBIGUOUS — MAPS TO MULTIPLE TEAMS",IF(COUNTIF($H$6:$H$481,$H346)&gt;1,"DUPLICATE x"&amp;COUNTIF($H$6:$H$481,$H346)&amp;" -&gt; "&amp;$I346,"")))</f>
        <v/>
      </c>
      <c r="K346" t="inlineStr">
        <is>
          <t>Virginia Tech Hokies</t>
        </is>
      </c>
    </row>
    <row r="347">
      <c r="H347" t="inlineStr">
        <is>
          <t>EMU</t>
        </is>
      </c>
      <c r="J347">
        <f>IF($H347="","",IF(SUMPRODUCT(--(LOWER(TRIM($H$6:$H$481))=LOWER(TRIM($H347))),--($I$6:$I$481&lt;&gt;$I347))&gt;0,"AMBIGUOUS — MAPS TO MULTIPLE TEAMS",IF(COUNTIF($H$6:$H$481,$H347)&gt;1,"DUPLICATE x"&amp;COUNTIF($H$6:$H$481,$H347)&amp;" -&gt; "&amp;$I347,"")))</f>
        <v/>
      </c>
      <c r="K347" t="inlineStr">
        <is>
          <t>Wake Forest Demon Deacons</t>
        </is>
      </c>
    </row>
    <row r="348">
      <c r="H348" t="inlineStr">
        <is>
          <t>Eastern Michigan</t>
        </is>
      </c>
      <c r="J348">
        <f>IF($H348="","",IF(SUMPRODUCT(--(LOWER(TRIM($H$6:$H$481))=LOWER(TRIM($H348))),--($I$6:$I$481&lt;&gt;$I348))&gt;0,"AMBIGUOUS — MAPS TO MULTIPLE TEAMS",IF(COUNTIF($H$6:$H$481,$H348)&gt;1,"DUPLICATE x"&amp;COUNTIF($H$6:$H$481,$H348)&amp;" -&gt; "&amp;$I348,"")))</f>
        <v/>
      </c>
      <c r="K348" t="inlineStr">
        <is>
          <t>Boise State Broncos</t>
        </is>
      </c>
    </row>
    <row r="349">
      <c r="H349" t="inlineStr">
        <is>
          <t>Eagles-EMU</t>
        </is>
      </c>
      <c r="J349">
        <f>IF($H349="","",IF(SUMPRODUCT(--(LOWER(TRIM($H$6:$H$481))=LOWER(TRIM($H349))),--($I$6:$I$481&lt;&gt;$I349))&gt;0,"AMBIGUOUS — MAPS TO MULTIPLE TEAMS",IF(COUNTIF($H$6:$H$481,$H349)&gt;1,"DUPLICATE x"&amp;COUNTIF($H$6:$H$481,$H349)&amp;" -&gt; "&amp;$I349,"")))</f>
        <v/>
      </c>
      <c r="K349" t="inlineStr">
        <is>
          <t>Colorado State Rams</t>
        </is>
      </c>
    </row>
    <row r="350">
      <c r="H350" t="inlineStr">
        <is>
          <t>KENT</t>
        </is>
      </c>
      <c r="J350">
        <f>IF($H350="","",IF(SUMPRODUCT(--(LOWER(TRIM($H$6:$H$481))=LOWER(TRIM($H350))),--($I$6:$I$481&lt;&gt;$I350))&gt;0,"AMBIGUOUS — MAPS TO MULTIPLE TEAMS",IF(COUNTIF($H$6:$H$481,$H350)&gt;1,"DUPLICATE x"&amp;COUNTIF($H$6:$H$481,$H350)&amp;" -&gt; "&amp;$I350,"")))</f>
        <v/>
      </c>
      <c r="K350" t="inlineStr">
        <is>
          <t>Fresno State Bulldogs</t>
        </is>
      </c>
    </row>
    <row r="351">
      <c r="H351" t="inlineStr">
        <is>
          <t>Kent State</t>
        </is>
      </c>
      <c r="J351">
        <f>IF($H351="","",IF(SUMPRODUCT(--(LOWER(TRIM($H$6:$H$481))=LOWER(TRIM($H351))),--($I$6:$I$481&lt;&gt;$I351))&gt;0,"AMBIGUOUS — MAPS TO MULTIPLE TEAMS",IF(COUNTIF($H$6:$H$481,$H351)&gt;1,"DUPLICATE x"&amp;COUNTIF($H$6:$H$481,$H351)&amp;" -&gt; "&amp;$I351,"")))</f>
        <v/>
      </c>
      <c r="K351" t="inlineStr">
        <is>
          <t>Oregon State Beavers</t>
        </is>
      </c>
    </row>
    <row r="352">
      <c r="H352" t="inlineStr">
        <is>
          <t>Golden Flashes</t>
        </is>
      </c>
      <c r="J352">
        <f>IF($H352="","",IF(SUMPRODUCT(--(LOWER(TRIM($H$6:$H$481))=LOWER(TRIM($H352))),--($I$6:$I$481&lt;&gt;$I352))&gt;0,"AMBIGUOUS — MAPS TO MULTIPLE TEAMS",IF(COUNTIF($H$6:$H$481,$H352)&gt;1,"DUPLICATE x"&amp;COUNTIF($H$6:$H$481,$H352)&amp;" -&gt; "&amp;$I352,"")))</f>
        <v/>
      </c>
      <c r="K352" t="inlineStr">
        <is>
          <t>San Diego State Aztecs</t>
        </is>
      </c>
    </row>
    <row r="353">
      <c r="H353" t="inlineStr">
        <is>
          <t>M-OH</t>
        </is>
      </c>
      <c r="J353">
        <f>IF($H353="","",IF(SUMPRODUCT(--(LOWER(TRIM($H$6:$H$481))=LOWER(TRIM($H353))),--($I$6:$I$481&lt;&gt;$I353))&gt;0,"AMBIGUOUS — MAPS TO MULTIPLE TEAMS",IF(COUNTIF($H$6:$H$481,$H353)&gt;1,"DUPLICATE x"&amp;COUNTIF($H$6:$H$481,$H353)&amp;" -&gt; "&amp;$I353,"")))</f>
        <v/>
      </c>
      <c r="K353" t="inlineStr">
        <is>
          <t>Texas State Bobcats</t>
        </is>
      </c>
    </row>
    <row r="354">
      <c r="H354" t="inlineStr">
        <is>
          <t>Miami (OH)</t>
        </is>
      </c>
      <c r="J354">
        <f>IF($H354="","",IF(SUMPRODUCT(--(LOWER(TRIM($H$6:$H$481))=LOWER(TRIM($H354))),--($I$6:$I$481&lt;&gt;$I354))&gt;0,"AMBIGUOUS — MAPS TO MULTIPLE TEAMS",IF(COUNTIF($H$6:$H$481,$H354)&gt;1,"DUPLICATE x"&amp;COUNTIF($H$6:$H$481,$H354)&amp;" -&gt; "&amp;$I354,"")))</f>
        <v/>
      </c>
      <c r="K354" t="inlineStr">
        <is>
          <t>Utah State Aggies</t>
        </is>
      </c>
    </row>
    <row r="355">
      <c r="H355" t="inlineStr">
        <is>
          <t>Miami Ohio</t>
        </is>
      </c>
      <c r="J355">
        <f>IF($H355="","",IF(SUMPRODUCT(--(LOWER(TRIM($H$6:$H$481))=LOWER(TRIM($H355))),--($I$6:$I$481&lt;&gt;$I355))&gt;0,"AMBIGUOUS — MAPS TO MULTIPLE TEAMS",IF(COUNTIF($H$6:$H$481,$H355)&gt;1,"DUPLICATE x"&amp;COUNTIF($H$6:$H$481,$H355)&amp;" -&gt; "&amp;$I355,"")))</f>
        <v/>
      </c>
      <c r="K355" t="inlineStr">
        <is>
          <t>Washington State Cougars</t>
        </is>
      </c>
    </row>
    <row r="356">
      <c r="H356" t="inlineStr">
        <is>
          <t>MIAOH</t>
        </is>
      </c>
      <c r="J356">
        <f>IF($H356="","",IF(SUMPRODUCT(--(LOWER(TRIM($H$6:$H$481))=LOWER(TRIM($H356))),--($I$6:$I$481&lt;&gt;$I356))&gt;0,"AMBIGUOUS — MAPS TO MULTIPLE TEAMS",IF(COUNTIF($H$6:$H$481,$H356)&gt;1,"DUPLICATE x"&amp;COUNTIF($H$6:$H$481,$H356)&amp;" -&gt; "&amp;$I356,"")))</f>
        <v/>
      </c>
      <c r="K356" t="inlineStr">
        <is>
          <t>Army Black Knights</t>
        </is>
      </c>
    </row>
    <row r="357">
      <c r="H357" t="inlineStr">
        <is>
          <t>RedHawks</t>
        </is>
      </c>
      <c r="J357">
        <f>IF($H357="","",IF(SUMPRODUCT(--(LOWER(TRIM($H$6:$H$481))=LOWER(TRIM($H357))),--($I$6:$I$481&lt;&gt;$I357))&gt;0,"AMBIGUOUS — MAPS TO MULTIPLE TEAMS",IF(COUNTIF($H$6:$H$481,$H357)&gt;1,"DUPLICATE x"&amp;COUNTIF($H$6:$H$481,$H357)&amp;" -&gt; "&amp;$I357,"")))</f>
        <v/>
      </c>
      <c r="K357" t="inlineStr">
        <is>
          <t>Charlotte 49ers</t>
        </is>
      </c>
    </row>
    <row r="358">
      <c r="H358" t="inlineStr">
        <is>
          <t>OHIO</t>
        </is>
      </c>
      <c r="J358">
        <f>IF($H358="","",IF(SUMPRODUCT(--(LOWER(TRIM($H$6:$H$481))=LOWER(TRIM($H358))),--($I$6:$I$481&lt;&gt;$I358))&gt;0,"AMBIGUOUS — MAPS TO MULTIPLE TEAMS",IF(COUNTIF($H$6:$H$481,$H358)&gt;1,"DUPLICATE x"&amp;COUNTIF($H$6:$H$481,$H358)&amp;" -&gt; "&amp;$I358,"")))</f>
        <v/>
      </c>
      <c r="K358" t="inlineStr">
        <is>
          <t>East Carolina Pirates</t>
        </is>
      </c>
    </row>
    <row r="359">
      <c r="H359" t="inlineStr">
        <is>
          <t>Bobcats-OHIO</t>
        </is>
      </c>
      <c r="J359">
        <f>IF($H359="","",IF(SUMPRODUCT(--(LOWER(TRIM($H$6:$H$481))=LOWER(TRIM($H359))),--($I$6:$I$481&lt;&gt;$I359))&gt;0,"AMBIGUOUS — MAPS TO MULTIPLE TEAMS",IF(COUNTIF($H$6:$H$481,$H359)&gt;1,"DUPLICATE x"&amp;COUNTIF($H$6:$H$481,$H359)&amp;" -&gt; "&amp;$I359,"")))</f>
        <v/>
      </c>
      <c r="K359" t="inlineStr">
        <is>
          <t>Florida Atlantic Owls</t>
        </is>
      </c>
    </row>
    <row r="360">
      <c r="H360" t="inlineStr">
        <is>
          <t>SAC</t>
        </is>
      </c>
      <c r="J360">
        <f>IF($H360="","",IF(SUMPRODUCT(--(LOWER(TRIM($H$6:$H$481))=LOWER(TRIM($H360))),--($I$6:$I$481&lt;&gt;$I360))&gt;0,"AMBIGUOUS — MAPS TO MULTIPLE TEAMS",IF(COUNTIF($H$6:$H$481,$H360)&gt;1,"DUPLICATE x"&amp;COUNTIF($H$6:$H$481,$H360)&amp;" -&gt; "&amp;$I360,"")))</f>
        <v/>
      </c>
      <c r="K360" t="inlineStr">
        <is>
          <t>Memphis Tigers</t>
        </is>
      </c>
    </row>
    <row r="361">
      <c r="H361" t="inlineStr">
        <is>
          <t>Sacramento State</t>
        </is>
      </c>
      <c r="J361">
        <f>IF($H361="","",IF(SUMPRODUCT(--(LOWER(TRIM($H$6:$H$481))=LOWER(TRIM($H361))),--($I$6:$I$481&lt;&gt;$I361))&gt;0,"AMBIGUOUS — MAPS TO MULTIPLE TEAMS",IF(COUNTIF($H$6:$H$481,$H361)&gt;1,"DUPLICATE x"&amp;COUNTIF($H$6:$H$481,$H361)&amp;" -&gt; "&amp;$I361,"")))</f>
        <v/>
      </c>
      <c r="K361" t="inlineStr">
        <is>
          <t>Navy Midshipmen</t>
        </is>
      </c>
    </row>
    <row r="362">
      <c r="H362" t="inlineStr">
        <is>
          <t>Sac State</t>
        </is>
      </c>
      <c r="J362">
        <f>IF($H362="","",IF(SUMPRODUCT(--(LOWER(TRIM($H$6:$H$481))=LOWER(TRIM($H362))),--($I$6:$I$481&lt;&gt;$I362))&gt;0,"AMBIGUOUS — MAPS TO MULTIPLE TEAMS",IF(COUNTIF($H$6:$H$481,$H362)&gt;1,"DUPLICATE x"&amp;COUNTIF($H$6:$H$481,$H362)&amp;" -&gt; "&amp;$I362,"")))</f>
        <v/>
      </c>
      <c r="K362" t="inlineStr">
        <is>
          <t>North Texas Mean Green</t>
        </is>
      </c>
    </row>
    <row r="363">
      <c r="H363" t="inlineStr">
        <is>
          <t>SACST</t>
        </is>
      </c>
      <c r="J363">
        <f>IF($H363="","",IF(SUMPRODUCT(--(LOWER(TRIM($H$6:$H$481))=LOWER(TRIM($H363))),--($I$6:$I$481&lt;&gt;$I363))&gt;0,"AMBIGUOUS — MAPS TO MULTIPLE TEAMS",IF(COUNTIF($H$6:$H$481,$H363)&gt;1,"DUPLICATE x"&amp;COUNTIF($H$6:$H$481,$H363)&amp;" -&gt; "&amp;$I363,"")))</f>
        <v/>
      </c>
      <c r="K363" t="inlineStr">
        <is>
          <t>Rice Owls</t>
        </is>
      </c>
    </row>
    <row r="364">
      <c r="H364" t="inlineStr">
        <is>
          <t>Hornets</t>
        </is>
      </c>
      <c r="J364">
        <f>IF($H364="","",IF(SUMPRODUCT(--(LOWER(TRIM($H$6:$H$481))=LOWER(TRIM($H364))),--($I$6:$I$481&lt;&gt;$I364))&gt;0,"AMBIGUOUS — MAPS TO MULTIPLE TEAMS",IF(COUNTIF($H$6:$H$481,$H364)&gt;1,"DUPLICATE x"&amp;COUNTIF($H$6:$H$481,$H364)&amp;" -&gt; "&amp;$I364,"")))</f>
        <v/>
      </c>
      <c r="K364" t="inlineStr">
        <is>
          <t>South Florida Bulls</t>
        </is>
      </c>
    </row>
    <row r="365">
      <c r="H365" t="inlineStr">
        <is>
          <t>TOL</t>
        </is>
      </c>
      <c r="J365">
        <f>IF($H365="","",IF(SUMPRODUCT(--(LOWER(TRIM($H$6:$H$481))=LOWER(TRIM($H365))),--($I$6:$I$481&lt;&gt;$I365))&gt;0,"AMBIGUOUS — MAPS TO MULTIPLE TEAMS",IF(COUNTIF($H$6:$H$481,$H365)&gt;1,"DUPLICATE x"&amp;COUNTIF($H$6:$H$481,$H365)&amp;" -&gt; "&amp;$I365,"")))</f>
        <v/>
      </c>
      <c r="K365" t="inlineStr">
        <is>
          <t>Temple Owls</t>
        </is>
      </c>
    </row>
    <row r="366">
      <c r="H366" t="inlineStr">
        <is>
          <t>Toledo</t>
        </is>
      </c>
      <c r="J366">
        <f>IF($H366="","",IF(SUMPRODUCT(--(LOWER(TRIM($H$6:$H$481))=LOWER(TRIM($H366))),--($I$6:$I$481&lt;&gt;$I366))&gt;0,"AMBIGUOUS — MAPS TO MULTIPLE TEAMS",IF(COUNTIF($H$6:$H$481,$H366)&gt;1,"DUPLICATE x"&amp;COUNTIF($H$6:$H$481,$H366)&amp;" -&gt; "&amp;$I366,"")))</f>
        <v/>
      </c>
      <c r="K366" t="inlineStr">
        <is>
          <t>Tulane Green Wave</t>
        </is>
      </c>
    </row>
    <row r="367">
      <c r="H367" t="inlineStr">
        <is>
          <t>Rockets</t>
        </is>
      </c>
      <c r="J367">
        <f>IF($H367="","",IF(SUMPRODUCT(--(LOWER(TRIM($H$6:$H$481))=LOWER(TRIM($H367))),--($I$6:$I$481&lt;&gt;$I367))&gt;0,"AMBIGUOUS — MAPS TO MULTIPLE TEAMS",IF(COUNTIF($H$6:$H$481,$H367)&gt;1,"DUPLICATE x"&amp;COUNTIF($H$6:$H$481,$H367)&amp;" -&gt; "&amp;$I367,"")))</f>
        <v/>
      </c>
      <c r="K367" t="inlineStr">
        <is>
          <t>Tulsa Golden Hurricane</t>
        </is>
      </c>
    </row>
    <row r="368">
      <c r="H368" t="inlineStr">
        <is>
          <t>MASS</t>
        </is>
      </c>
      <c r="J368">
        <f>IF($H368="","",IF(SUMPRODUCT(--(LOWER(TRIM($H$6:$H$481))=LOWER(TRIM($H368))),--($I$6:$I$481&lt;&gt;$I368))&gt;0,"AMBIGUOUS — MAPS TO MULTIPLE TEAMS",IF(COUNTIF($H$6:$H$481,$H368)&gt;1,"DUPLICATE x"&amp;COUNTIF($H$6:$H$481,$H368)&amp;" -&gt; "&amp;$I368,"")))</f>
        <v/>
      </c>
      <c r="K368" t="inlineStr">
        <is>
          <t>UAB Blazers</t>
        </is>
      </c>
    </row>
    <row r="369">
      <c r="H369" t="inlineStr">
        <is>
          <t>UMass</t>
        </is>
      </c>
      <c r="J369">
        <f>IF($H369="","",IF(SUMPRODUCT(--(LOWER(TRIM($H$6:$H$481))=LOWER(TRIM($H369))),--($I$6:$I$481&lt;&gt;$I369))&gt;0,"AMBIGUOUS — MAPS TO MULTIPLE TEAMS",IF(COUNTIF($H$6:$H$481,$H369)&gt;1,"DUPLICATE x"&amp;COUNTIF($H$6:$H$481,$H369)&amp;" -&gt; "&amp;$I369,"")))</f>
        <v/>
      </c>
      <c r="K369" t="inlineStr">
        <is>
          <t>UTSA Roadrunners</t>
        </is>
      </c>
    </row>
    <row r="370">
      <c r="H370" t="inlineStr">
        <is>
          <t>Massachusetts</t>
        </is>
      </c>
      <c r="J370">
        <f>IF($H370="","",IF(SUMPRODUCT(--(LOWER(TRIM($H$6:$H$481))=LOWER(TRIM($H370))),--($I$6:$I$481&lt;&gt;$I370))&gt;0,"AMBIGUOUS — MAPS TO MULTIPLE TEAMS",IF(COUNTIF($H$6:$H$481,$H370)&gt;1,"DUPLICATE x"&amp;COUNTIF($H$6:$H$481,$H370)&amp;" -&gt; "&amp;$I370,"")))</f>
        <v/>
      </c>
      <c r="K370" t="inlineStr">
        <is>
          <t>Delaware Blue Hens</t>
        </is>
      </c>
    </row>
    <row r="371">
      <c r="H371" t="inlineStr">
        <is>
          <t>Minutemen</t>
        </is>
      </c>
      <c r="J371">
        <f>IF($H371="","",IF(SUMPRODUCT(--(LOWER(TRIM($H$6:$H$481))=LOWER(TRIM($H371))),--($I$6:$I$481&lt;&gt;$I371))&gt;0,"AMBIGUOUS — MAPS TO MULTIPLE TEAMS",IF(COUNTIF($H$6:$H$481,$H371)&gt;1,"DUPLICATE x"&amp;COUNTIF($H$6:$H$481,$H371)&amp;" -&gt; "&amp;$I371,"")))</f>
        <v/>
      </c>
      <c r="K371" t="inlineStr">
        <is>
          <t>Florida International Panthers</t>
        </is>
      </c>
    </row>
    <row r="372">
      <c r="H372" t="inlineStr">
        <is>
          <t>WMU</t>
        </is>
      </c>
      <c r="J372">
        <f>IF($H372="","",IF(SUMPRODUCT(--(LOWER(TRIM($H$6:$H$481))=LOWER(TRIM($H372))),--($I$6:$I$481&lt;&gt;$I372))&gt;0,"AMBIGUOUS — MAPS TO MULTIPLE TEAMS",IF(COUNTIF($H$6:$H$481,$H372)&gt;1,"DUPLICATE x"&amp;COUNTIF($H$6:$H$481,$H372)&amp;" -&gt; "&amp;$I372,"")))</f>
        <v/>
      </c>
      <c r="K372" t="inlineStr">
        <is>
          <t>Jacksonville State Gamecocks</t>
        </is>
      </c>
    </row>
    <row r="373">
      <c r="H373" t="inlineStr">
        <is>
          <t>Western Michigan</t>
        </is>
      </c>
      <c r="J373">
        <f>IF($H373="","",IF(SUMPRODUCT(--(LOWER(TRIM($H$6:$H$481))=LOWER(TRIM($H373))),--($I$6:$I$481&lt;&gt;$I373))&gt;0,"AMBIGUOUS — MAPS TO MULTIPLE TEAMS",IF(COUNTIF($H$6:$H$481,$H373)&gt;1,"DUPLICATE x"&amp;COUNTIF($H$6:$H$481,$H373)&amp;" -&gt; "&amp;$I373,"")))</f>
        <v/>
      </c>
      <c r="K373" t="inlineStr">
        <is>
          <t>Kennesaw State Owls</t>
        </is>
      </c>
    </row>
    <row r="374">
      <c r="H374" t="inlineStr">
        <is>
          <t>Broncos-WMU</t>
        </is>
      </c>
      <c r="J374">
        <f>IF($H374="","",IF(SUMPRODUCT(--(LOWER(TRIM($H$6:$H$481))=LOWER(TRIM($H374))),--($I$6:$I$481&lt;&gt;$I374))&gt;0,"AMBIGUOUS — MAPS TO MULTIPLE TEAMS",IF(COUNTIF($H$6:$H$481,$H374)&gt;1,"DUPLICATE x"&amp;COUNTIF($H$6:$H$481,$H374)&amp;" -&gt; "&amp;$I374,"")))</f>
        <v/>
      </c>
      <c r="K374" t="inlineStr">
        <is>
          <t>Liberty Flames</t>
        </is>
      </c>
    </row>
    <row r="375">
      <c r="H375" t="inlineStr">
        <is>
          <t>AFA</t>
        </is>
      </c>
      <c r="J375">
        <f>IF($H375="","",IF(SUMPRODUCT(--(LOWER(TRIM($H$6:$H$481))=LOWER(TRIM($H375))),--($I$6:$I$481&lt;&gt;$I375))&gt;0,"AMBIGUOUS — MAPS TO MULTIPLE TEAMS",IF(COUNTIF($H$6:$H$481,$H375)&gt;1,"DUPLICATE x"&amp;COUNTIF($H$6:$H$481,$H375)&amp;" -&gt; "&amp;$I375,"")))</f>
        <v/>
      </c>
      <c r="K375" t="inlineStr">
        <is>
          <t>Middle Tennessee Blue Raiders</t>
        </is>
      </c>
    </row>
    <row r="376">
      <c r="H376" t="inlineStr">
        <is>
          <t>Air Force</t>
        </is>
      </c>
      <c r="J376">
        <f>IF($H376="","",IF(SUMPRODUCT(--(LOWER(TRIM($H$6:$H$481))=LOWER(TRIM($H376))),--($I$6:$I$481&lt;&gt;$I376))&gt;0,"AMBIGUOUS — MAPS TO MULTIPLE TEAMS",IF(COUNTIF($H$6:$H$481,$H376)&gt;1,"DUPLICATE x"&amp;COUNTIF($H$6:$H$481,$H376)&amp;" -&gt; "&amp;$I376,"")))</f>
        <v/>
      </c>
      <c r="K376" t="inlineStr">
        <is>
          <t>Missouri State Bears</t>
        </is>
      </c>
    </row>
    <row r="377">
      <c r="H377" t="inlineStr">
        <is>
          <t>Falcons-AFA</t>
        </is>
      </c>
      <c r="J377">
        <f>IF($H377="","",IF(SUMPRODUCT(--(LOWER(TRIM($H$6:$H$481))=LOWER(TRIM($H377))),--($I$6:$I$481&lt;&gt;$I377))&gt;0,"AMBIGUOUS — MAPS TO MULTIPLE TEAMS",IF(COUNTIF($H$6:$H$481,$H377)&gt;1,"DUPLICATE x"&amp;COUNTIF($H$6:$H$481,$H377)&amp;" -&gt; "&amp;$I377,"")))</f>
        <v/>
      </c>
      <c r="K377" t="inlineStr">
        <is>
          <t>New Mexico State Aggies</t>
        </is>
      </c>
    </row>
    <row r="378">
      <c r="H378" t="inlineStr">
        <is>
          <t>HAW</t>
        </is>
      </c>
      <c r="J378">
        <f>IF($H378="","",IF(SUMPRODUCT(--(LOWER(TRIM($H$6:$H$481))=LOWER(TRIM($H378))),--($I$6:$I$481&lt;&gt;$I378))&gt;0,"AMBIGUOUS — MAPS TO MULTIPLE TEAMS",IF(COUNTIF($H$6:$H$481,$H378)&gt;1,"DUPLICATE x"&amp;COUNTIF($H$6:$H$481,$H378)&amp;" -&gt; "&amp;$I378,"")))</f>
        <v/>
      </c>
      <c r="K378" t="inlineStr">
        <is>
          <t>Sam Houston Bearkats</t>
        </is>
      </c>
    </row>
    <row r="379">
      <c r="H379" t="inlineStr">
        <is>
          <t>Hawai'i</t>
        </is>
      </c>
      <c r="J379">
        <f>IF($H379="","",IF(SUMPRODUCT(--(LOWER(TRIM($H$6:$H$481))=LOWER(TRIM($H379))),--($I$6:$I$481&lt;&gt;$I379))&gt;0,"AMBIGUOUS — MAPS TO MULTIPLE TEAMS",IF(COUNTIF($H$6:$H$481,$H379)&gt;1,"DUPLICATE x"&amp;COUNTIF($H$6:$H$481,$H379)&amp;" -&gt; "&amp;$I379,"")))</f>
        <v/>
      </c>
      <c r="K379" t="inlineStr">
        <is>
          <t>Western Kentucky Hilltoppers</t>
        </is>
      </c>
    </row>
    <row r="380">
      <c r="H380" t="inlineStr">
        <is>
          <t>Hawaii</t>
        </is>
      </c>
      <c r="J380">
        <f>IF($H380="","",IF(SUMPRODUCT(--(LOWER(TRIM($H$6:$H$481))=LOWER(TRIM($H380))),--($I$6:$I$481&lt;&gt;$I380))&gt;0,"AMBIGUOUS — MAPS TO MULTIPLE TEAMS",IF(COUNTIF($H$6:$H$481,$H380)&gt;1,"DUPLICATE x"&amp;COUNTIF($H$6:$H$481,$H380)&amp;" -&gt; "&amp;$I380,"")))</f>
        <v/>
      </c>
      <c r="K380" t="inlineStr">
        <is>
          <t>Akron Zips</t>
        </is>
      </c>
    </row>
    <row r="381">
      <c r="H381" t="inlineStr">
        <is>
          <t>Rainbow Warriors</t>
        </is>
      </c>
      <c r="J381">
        <f>IF($H381="","",IF(SUMPRODUCT(--(LOWER(TRIM($H$6:$H$481))=LOWER(TRIM($H381))),--($I$6:$I$481&lt;&gt;$I381))&gt;0,"AMBIGUOUS — MAPS TO MULTIPLE TEAMS",IF(COUNTIF($H$6:$H$481,$H381)&gt;1,"DUPLICATE x"&amp;COUNTIF($H$6:$H$481,$H381)&amp;" -&gt; "&amp;$I381,"")))</f>
        <v/>
      </c>
      <c r="K381" t="inlineStr">
        <is>
          <t>Ball State Cardinals</t>
        </is>
      </c>
    </row>
    <row r="382">
      <c r="H382" t="inlineStr">
        <is>
          <t>NEV</t>
        </is>
      </c>
      <c r="J382">
        <f>IF($H382="","",IF(SUMPRODUCT(--(LOWER(TRIM($H$6:$H$481))=LOWER(TRIM($H382))),--($I$6:$I$481&lt;&gt;$I382))&gt;0,"AMBIGUOUS — MAPS TO MULTIPLE TEAMS",IF(COUNTIF($H$6:$H$481,$H382)&gt;1,"DUPLICATE x"&amp;COUNTIF($H$6:$H$481,$H382)&amp;" -&gt; "&amp;$I382,"")))</f>
        <v/>
      </c>
      <c r="K382" t="inlineStr">
        <is>
          <t>Bowling Green Falcons</t>
        </is>
      </c>
    </row>
    <row r="383">
      <c r="H383" t="inlineStr">
        <is>
          <t>Nevada</t>
        </is>
      </c>
      <c r="J383">
        <f>IF($H383="","",IF(SUMPRODUCT(--(LOWER(TRIM($H$6:$H$481))=LOWER(TRIM($H383))),--($I$6:$I$481&lt;&gt;$I383))&gt;0,"AMBIGUOUS — MAPS TO MULTIPLE TEAMS",IF(COUNTIF($H$6:$H$481,$H383)&gt;1,"DUPLICATE x"&amp;COUNTIF($H$6:$H$481,$H383)&amp;" -&gt; "&amp;$I383,"")))</f>
        <v/>
      </c>
      <c r="K383" t="inlineStr">
        <is>
          <t>Buffalo Bulls</t>
        </is>
      </c>
    </row>
    <row r="384">
      <c r="H384" t="inlineStr">
        <is>
          <t>Wolf Pack</t>
        </is>
      </c>
      <c r="J384">
        <f>IF($H384="","",IF(SUMPRODUCT(--(LOWER(TRIM($H$6:$H$481))=LOWER(TRIM($H384))),--($I$6:$I$481&lt;&gt;$I384))&gt;0,"AMBIGUOUS — MAPS TO MULTIPLE TEAMS",IF(COUNTIF($H$6:$H$481,$H384)&gt;1,"DUPLICATE x"&amp;COUNTIF($H$6:$H$481,$H384)&amp;" -&gt; "&amp;$I384,"")))</f>
        <v/>
      </c>
      <c r="K384" t="inlineStr">
        <is>
          <t>Central Michigan Chippewas</t>
        </is>
      </c>
    </row>
    <row r="385">
      <c r="H385" t="inlineStr">
        <is>
          <t>UNM</t>
        </is>
      </c>
      <c r="J385">
        <f>IF($H385="","",IF(SUMPRODUCT(--(LOWER(TRIM($H$6:$H$481))=LOWER(TRIM($H385))),--($I$6:$I$481&lt;&gt;$I385))&gt;0,"AMBIGUOUS — MAPS TO MULTIPLE TEAMS",IF(COUNTIF($H$6:$H$481,$H385)&gt;1,"DUPLICATE x"&amp;COUNTIF($H$6:$H$481,$H385)&amp;" -&gt; "&amp;$I385,"")))</f>
        <v/>
      </c>
      <c r="K385" t="inlineStr">
        <is>
          <t>Eastern Michigan Eagles</t>
        </is>
      </c>
    </row>
    <row r="386">
      <c r="H386" t="inlineStr">
        <is>
          <t>New Mexico</t>
        </is>
      </c>
      <c r="J386">
        <f>IF($H386="","",IF(SUMPRODUCT(--(LOWER(TRIM($H$6:$H$481))=LOWER(TRIM($H386))),--($I$6:$I$481&lt;&gt;$I386))&gt;0,"AMBIGUOUS — MAPS TO MULTIPLE TEAMS",IF(COUNTIF($H$6:$H$481,$H386)&gt;1,"DUPLICATE x"&amp;COUNTIF($H$6:$H$481,$H386)&amp;" -&gt; "&amp;$I386,"")))</f>
        <v/>
      </c>
      <c r="K386" t="inlineStr">
        <is>
          <t>Kent State Golden Flashes</t>
        </is>
      </c>
    </row>
    <row r="387">
      <c r="H387" t="inlineStr">
        <is>
          <t>Lobos</t>
        </is>
      </c>
      <c r="J387">
        <f>IF($H387="","",IF(SUMPRODUCT(--(LOWER(TRIM($H$6:$H$481))=LOWER(TRIM($H387))),--($I$6:$I$481&lt;&gt;$I387))&gt;0,"AMBIGUOUS — MAPS TO MULTIPLE TEAMS",IF(COUNTIF($H$6:$H$481,$H387)&gt;1,"DUPLICATE x"&amp;COUNTIF($H$6:$H$481,$H387)&amp;" -&gt; "&amp;$I387,"")))</f>
        <v/>
      </c>
      <c r="K387" t="inlineStr">
        <is>
          <t>Miami (OH) RedHawks</t>
        </is>
      </c>
    </row>
    <row r="388">
      <c r="H388" t="inlineStr">
        <is>
          <t>NDSU</t>
        </is>
      </c>
      <c r="J388">
        <f>IF($H388="","",IF(SUMPRODUCT(--(LOWER(TRIM($H$6:$H$481))=LOWER(TRIM($H388))),--($I$6:$I$481&lt;&gt;$I388))&gt;0,"AMBIGUOUS — MAPS TO MULTIPLE TEAMS",IF(COUNTIF($H$6:$H$481,$H388)&gt;1,"DUPLICATE x"&amp;COUNTIF($H$6:$H$481,$H388)&amp;" -&gt; "&amp;$I388,"")))</f>
        <v/>
      </c>
      <c r="K388" t="inlineStr">
        <is>
          <t>Ohio Bobcats</t>
        </is>
      </c>
    </row>
    <row r="389">
      <c r="H389" t="inlineStr">
        <is>
          <t>North Dakota State</t>
        </is>
      </c>
      <c r="J389">
        <f>IF($H389="","",IF(SUMPRODUCT(--(LOWER(TRIM($H$6:$H$481))=LOWER(TRIM($H389))),--($I$6:$I$481&lt;&gt;$I389))&gt;0,"AMBIGUOUS — MAPS TO MULTIPLE TEAMS",IF(COUNTIF($H$6:$H$481,$H389)&gt;1,"DUPLICATE x"&amp;COUNTIF($H$6:$H$481,$H389)&amp;" -&gt; "&amp;$I389,"")))</f>
        <v/>
      </c>
      <c r="K389" t="inlineStr">
        <is>
          <t>Sacramento State Hornets</t>
        </is>
      </c>
    </row>
    <row r="390">
      <c r="H390" t="inlineStr">
        <is>
          <t>Bison</t>
        </is>
      </c>
      <c r="J390">
        <f>IF($H390="","",IF(SUMPRODUCT(--(LOWER(TRIM($H$6:$H$481))=LOWER(TRIM($H390))),--($I$6:$I$481&lt;&gt;$I390))&gt;0,"AMBIGUOUS — MAPS TO MULTIPLE TEAMS",IF(COUNTIF($H$6:$H$481,$H390)&gt;1,"DUPLICATE x"&amp;COUNTIF($H$6:$H$481,$H390)&amp;" -&gt; "&amp;$I390,"")))</f>
        <v/>
      </c>
      <c r="K390" t="inlineStr">
        <is>
          <t>Toledo Rockets</t>
        </is>
      </c>
    </row>
    <row r="391">
      <c r="H391" t="inlineStr">
        <is>
          <t>ND State</t>
        </is>
      </c>
      <c r="J391">
        <f>IF($H391="","",IF(SUMPRODUCT(--(LOWER(TRIM($H$6:$H$481))=LOWER(TRIM($H391))),--($I$6:$I$481&lt;&gt;$I391))&gt;0,"AMBIGUOUS — MAPS TO MULTIPLE TEAMS",IF(COUNTIF($H$6:$H$481,$H391)&gt;1,"DUPLICATE x"&amp;COUNTIF($H$6:$H$481,$H391)&amp;" -&gt; "&amp;$I391,"")))</f>
        <v/>
      </c>
      <c r="K391" t="inlineStr">
        <is>
          <t>Massachusetts Minutemen</t>
        </is>
      </c>
    </row>
    <row r="392">
      <c r="H392" t="inlineStr">
        <is>
          <t>NIU</t>
        </is>
      </c>
      <c r="J392">
        <f>IF($H392="","",IF(SUMPRODUCT(--(LOWER(TRIM($H$6:$H$481))=LOWER(TRIM($H392))),--($I$6:$I$481&lt;&gt;$I392))&gt;0,"AMBIGUOUS — MAPS TO MULTIPLE TEAMS",IF(COUNTIF($H$6:$H$481,$H392)&gt;1,"DUPLICATE x"&amp;COUNTIF($H$6:$H$481,$H392)&amp;" -&gt; "&amp;$I392,"")))</f>
        <v/>
      </c>
      <c r="K392" t="inlineStr">
        <is>
          <t>Western Michigan Broncos</t>
        </is>
      </c>
    </row>
    <row r="393">
      <c r="H393" t="inlineStr">
        <is>
          <t>Northern Illinois</t>
        </is>
      </c>
      <c r="J393">
        <f>IF($H393="","",IF(SUMPRODUCT(--(LOWER(TRIM($H$6:$H$481))=LOWER(TRIM($H393))),--($I$6:$I$481&lt;&gt;$I393))&gt;0,"AMBIGUOUS — MAPS TO MULTIPLE TEAMS",IF(COUNTIF($H$6:$H$481,$H393)&gt;1,"DUPLICATE x"&amp;COUNTIF($H$6:$H$481,$H393)&amp;" -&gt; "&amp;$I393,"")))</f>
        <v/>
      </c>
      <c r="K393" t="inlineStr">
        <is>
          <t>Air Force Falcons</t>
        </is>
      </c>
    </row>
    <row r="394">
      <c r="H394" t="inlineStr">
        <is>
          <t>Huskies-NIU</t>
        </is>
      </c>
      <c r="J394">
        <f>IF($H394="","",IF(SUMPRODUCT(--(LOWER(TRIM($H$6:$H$481))=LOWER(TRIM($H394))),--($I$6:$I$481&lt;&gt;$I394))&gt;0,"AMBIGUOUS — MAPS TO MULTIPLE TEAMS",IF(COUNTIF($H$6:$H$481,$H394)&gt;1,"DUPLICATE x"&amp;COUNTIF($H$6:$H$481,$H394)&amp;" -&gt; "&amp;$I394,"")))</f>
        <v/>
      </c>
      <c r="K394" t="inlineStr">
        <is>
          <t>Hawai'i Rainbow Warriors</t>
        </is>
      </c>
    </row>
    <row r="395">
      <c r="H395" t="inlineStr">
        <is>
          <t>SJSU</t>
        </is>
      </c>
      <c r="J395">
        <f>IF($H395="","",IF(SUMPRODUCT(--(LOWER(TRIM($H$6:$H$481))=LOWER(TRIM($H395))),--($I$6:$I$481&lt;&gt;$I395))&gt;0,"AMBIGUOUS — MAPS TO MULTIPLE TEAMS",IF(COUNTIF($H$6:$H$481,$H395)&gt;1,"DUPLICATE x"&amp;COUNTIF($H$6:$H$481,$H395)&amp;" -&gt; "&amp;$I395,"")))</f>
        <v/>
      </c>
      <c r="K395" t="inlineStr">
        <is>
          <t>Nevada Wolf Pack</t>
        </is>
      </c>
    </row>
    <row r="396">
      <c r="H396" t="inlineStr">
        <is>
          <t>San José State</t>
        </is>
      </c>
      <c r="J396">
        <f>IF($H396="","",IF(SUMPRODUCT(--(LOWER(TRIM($H$6:$H$481))=LOWER(TRIM($H396))),--($I$6:$I$481&lt;&gt;$I396))&gt;0,"AMBIGUOUS — MAPS TO MULTIPLE TEAMS",IF(COUNTIF($H$6:$H$481,$H396)&gt;1,"DUPLICATE x"&amp;COUNTIF($H$6:$H$481,$H396)&amp;" -&gt; "&amp;$I396,"")))</f>
        <v/>
      </c>
      <c r="K396" t="inlineStr">
        <is>
          <t>New Mexico Lobos</t>
        </is>
      </c>
    </row>
    <row r="397">
      <c r="H397" t="inlineStr">
        <is>
          <t>San Jose State</t>
        </is>
      </c>
      <c r="J397">
        <f>IF($H397="","",IF(SUMPRODUCT(--(LOWER(TRIM($H$6:$H$481))=LOWER(TRIM($H397))),--($I$6:$I$481&lt;&gt;$I397))&gt;0,"AMBIGUOUS — MAPS TO MULTIPLE TEAMS",IF(COUNTIF($H$6:$H$481,$H397)&gt;1,"DUPLICATE x"&amp;COUNTIF($H$6:$H$481,$H397)&amp;" -&gt; "&amp;$I397,"")))</f>
        <v/>
      </c>
      <c r="K397" t="inlineStr">
        <is>
          <t>North Dakota State Bison</t>
        </is>
      </c>
    </row>
    <row r="398">
      <c r="H398" t="inlineStr">
        <is>
          <t>Spartans-SJSU</t>
        </is>
      </c>
      <c r="J398">
        <f>IF($H398="","",IF(SUMPRODUCT(--(LOWER(TRIM($H$6:$H$481))=LOWER(TRIM($H398))),--($I$6:$I$481&lt;&gt;$I398))&gt;0,"AMBIGUOUS — MAPS TO MULTIPLE TEAMS",IF(COUNTIF($H$6:$H$481,$H398)&gt;1,"DUPLICATE x"&amp;COUNTIF($H$6:$H$481,$H398)&amp;" -&gt; "&amp;$I398,"")))</f>
        <v/>
      </c>
      <c r="K398" t="inlineStr">
        <is>
          <t>Northern Illinois Huskies</t>
        </is>
      </c>
    </row>
    <row r="399">
      <c r="H399" t="inlineStr">
        <is>
          <t>UNLV</t>
        </is>
      </c>
      <c r="J399">
        <f>IF($H399="","",IF(SUMPRODUCT(--(LOWER(TRIM($H$6:$H$481))=LOWER(TRIM($H399))),--($I$6:$I$481&lt;&gt;$I399))&gt;0,"AMBIGUOUS — MAPS TO MULTIPLE TEAMS",IF(COUNTIF($H$6:$H$481,$H399)&gt;1,"DUPLICATE x"&amp;COUNTIF($H$6:$H$481,$H399)&amp;" -&gt; "&amp;$I399,"")))</f>
        <v/>
      </c>
      <c r="K399" t="inlineStr">
        <is>
          <t>San José State Spartans</t>
        </is>
      </c>
    </row>
    <row r="400">
      <c r="H400" t="inlineStr">
        <is>
          <t>Nevada-Las Vegas</t>
        </is>
      </c>
      <c r="J400">
        <f>IF($H400="","",IF(SUMPRODUCT(--(LOWER(TRIM($H$6:$H$481))=LOWER(TRIM($H400))),--($I$6:$I$481&lt;&gt;$I400))&gt;0,"AMBIGUOUS — MAPS TO MULTIPLE TEAMS",IF(COUNTIF($H$6:$H$481,$H400)&gt;1,"DUPLICATE x"&amp;COUNTIF($H$6:$H$481,$H400)&amp;" -&gt; "&amp;$I400,"")))</f>
        <v/>
      </c>
      <c r="K400" t="inlineStr">
        <is>
          <t>UNLV Rebels</t>
        </is>
      </c>
    </row>
    <row r="401">
      <c r="H401" t="inlineStr">
        <is>
          <t>Rebels</t>
        </is>
      </c>
      <c r="J401">
        <f>IF($H401="","",IF(SUMPRODUCT(--(LOWER(TRIM($H$6:$H$481))=LOWER(TRIM($H401))),--($I$6:$I$481&lt;&gt;$I401))&gt;0,"AMBIGUOUS — MAPS TO MULTIPLE TEAMS",IF(COUNTIF($H$6:$H$481,$H401)&gt;1,"DUPLICATE x"&amp;COUNTIF($H$6:$H$481,$H401)&amp;" -&gt; "&amp;$I401,"")))</f>
        <v/>
      </c>
      <c r="K401" t="inlineStr">
        <is>
          <t>UTEP Miners</t>
        </is>
      </c>
    </row>
    <row r="402">
      <c r="H402" t="inlineStr">
        <is>
          <t>UTEP</t>
        </is>
      </c>
      <c r="J402">
        <f>IF($H402="","",IF(SUMPRODUCT(--(LOWER(TRIM($H$6:$H$481))=LOWER(TRIM($H402))),--($I$6:$I$481&lt;&gt;$I402))&gt;0,"AMBIGUOUS — MAPS TO MULTIPLE TEAMS",IF(COUNTIF($H$6:$H$481,$H402)&gt;1,"DUPLICATE x"&amp;COUNTIF($H$6:$H$481,$H402)&amp;" -&gt; "&amp;$I402,"")))</f>
        <v/>
      </c>
      <c r="K402" t="inlineStr">
        <is>
          <t>Wyoming Cowboys</t>
        </is>
      </c>
    </row>
    <row r="403">
      <c r="H403" t="inlineStr">
        <is>
          <t>Texas-El Paso</t>
        </is>
      </c>
      <c r="J403">
        <f>IF($H403="","",IF(SUMPRODUCT(--(LOWER(TRIM($H$6:$H$481))=LOWER(TRIM($H403))),--($I$6:$I$481&lt;&gt;$I403))&gt;0,"AMBIGUOUS — MAPS TO MULTIPLE TEAMS",IF(COUNTIF($H$6:$H$481,$H403)&gt;1,"DUPLICATE x"&amp;COUNTIF($H$6:$H$481,$H403)&amp;" -&gt; "&amp;$I403,"")))</f>
        <v/>
      </c>
      <c r="K403" t="inlineStr">
        <is>
          <t>App State Mountaineers</t>
        </is>
      </c>
    </row>
    <row r="404">
      <c r="H404" t="inlineStr">
        <is>
          <t>Miners</t>
        </is>
      </c>
      <c r="J404">
        <f>IF($H404="","",IF(SUMPRODUCT(--(LOWER(TRIM($H$6:$H$481))=LOWER(TRIM($H404))),--($I$6:$I$481&lt;&gt;$I404))&gt;0,"AMBIGUOUS — MAPS TO MULTIPLE TEAMS",IF(COUNTIF($H$6:$H$481,$H404)&gt;1,"DUPLICATE x"&amp;COUNTIF($H$6:$H$481,$H404)&amp;" -&gt; "&amp;$I404,"")))</f>
        <v/>
      </c>
      <c r="K404" t="inlineStr">
        <is>
          <t>Arkansas State Red Wolves</t>
        </is>
      </c>
    </row>
    <row r="405">
      <c r="H405" t="inlineStr">
        <is>
          <t>WYO</t>
        </is>
      </c>
      <c r="J405">
        <f>IF($H405="","",IF(SUMPRODUCT(--(LOWER(TRIM($H$6:$H$481))=LOWER(TRIM($H405))),--($I$6:$I$481&lt;&gt;$I405))&gt;0,"AMBIGUOUS — MAPS TO MULTIPLE TEAMS",IF(COUNTIF($H$6:$H$481,$H405)&gt;1,"DUPLICATE x"&amp;COUNTIF($H$6:$H$481,$H405)&amp;" -&gt; "&amp;$I405,"")))</f>
        <v/>
      </c>
      <c r="K405" t="inlineStr">
        <is>
          <t>Coastal Carolina Chanticleers</t>
        </is>
      </c>
    </row>
    <row r="406">
      <c r="H406" t="inlineStr">
        <is>
          <t>Wyoming</t>
        </is>
      </c>
      <c r="J406">
        <f>IF($H406="","",IF(SUMPRODUCT(--(LOWER(TRIM($H$6:$H$481))=LOWER(TRIM($H406))),--($I$6:$I$481&lt;&gt;$I406))&gt;0,"AMBIGUOUS — MAPS TO MULTIPLE TEAMS",IF(COUNTIF($H$6:$H$481,$H406)&gt;1,"DUPLICATE x"&amp;COUNTIF($H$6:$H$481,$H406)&amp;" -&gt; "&amp;$I406,"")))</f>
        <v/>
      </c>
      <c r="K406" t="inlineStr">
        <is>
          <t>Georgia Southern Eagles</t>
        </is>
      </c>
    </row>
    <row r="407">
      <c r="H407" t="inlineStr">
        <is>
          <t>Cowboys-WYO</t>
        </is>
      </c>
      <c r="J407">
        <f>IF($H407="","",IF(SUMPRODUCT(--(LOWER(TRIM($H$6:$H$481))=LOWER(TRIM($H407))),--($I$6:$I$481&lt;&gt;$I407))&gt;0,"AMBIGUOUS — MAPS TO MULTIPLE TEAMS",IF(COUNTIF($H$6:$H$481,$H407)&gt;1,"DUPLICATE x"&amp;COUNTIF($H$6:$H$481,$H407)&amp;" -&gt; "&amp;$I407,"")))</f>
        <v/>
      </c>
      <c r="K407" t="inlineStr">
        <is>
          <t>Georgia State Panthers</t>
        </is>
      </c>
    </row>
    <row r="408">
      <c r="H408" t="inlineStr">
        <is>
          <t>Pokes-WYO</t>
        </is>
      </c>
      <c r="J408">
        <f>IF($H408="","",IF(SUMPRODUCT(--(LOWER(TRIM($H$6:$H$481))=LOWER(TRIM($H408))),--($I$6:$I$481&lt;&gt;$I408))&gt;0,"AMBIGUOUS — MAPS TO MULTIPLE TEAMS",IF(COUNTIF($H$6:$H$481,$H408)&gt;1,"DUPLICATE x"&amp;COUNTIF($H$6:$H$481,$H408)&amp;" -&gt; "&amp;$I408,"")))</f>
        <v/>
      </c>
      <c r="K408" t="inlineStr">
        <is>
          <t>James Madison Dukes</t>
        </is>
      </c>
    </row>
    <row r="409">
      <c r="H409" t="inlineStr">
        <is>
          <t>APP</t>
        </is>
      </c>
      <c r="J409">
        <f>IF($H409="","",IF(SUMPRODUCT(--(LOWER(TRIM($H$6:$H$481))=LOWER(TRIM($H409))),--($I$6:$I$481&lt;&gt;$I409))&gt;0,"AMBIGUOUS — MAPS TO MULTIPLE TEAMS",IF(COUNTIF($H$6:$H$481,$H409)&gt;1,"DUPLICATE x"&amp;COUNTIF($H$6:$H$481,$H409)&amp;" -&gt; "&amp;$I409,"")))</f>
        <v/>
      </c>
      <c r="K409" t="inlineStr">
        <is>
          <t>Louisiana Ragin' Cajuns</t>
        </is>
      </c>
    </row>
    <row r="410">
      <c r="H410" t="inlineStr">
        <is>
          <t>Appalachian State</t>
        </is>
      </c>
      <c r="J410">
        <f>IF($H410="","",IF(SUMPRODUCT(--(LOWER(TRIM($H$6:$H$481))=LOWER(TRIM($H410))),--($I$6:$I$481&lt;&gt;$I410))&gt;0,"AMBIGUOUS — MAPS TO MULTIPLE TEAMS",IF(COUNTIF($H$6:$H$481,$H410)&gt;1,"DUPLICATE x"&amp;COUNTIF($H$6:$H$481,$H410)&amp;" -&gt; "&amp;$I410,"")))</f>
        <v/>
      </c>
      <c r="K410" t="inlineStr">
        <is>
          <t>Louisiana Tech Bulldogs</t>
        </is>
      </c>
    </row>
    <row r="411">
      <c r="H411" t="inlineStr">
        <is>
          <t>App State</t>
        </is>
      </c>
      <c r="J411">
        <f>IF($H411="","",IF(SUMPRODUCT(--(LOWER(TRIM($H$6:$H$481))=LOWER(TRIM($H411))),--($I$6:$I$481&lt;&gt;$I411))&gt;0,"AMBIGUOUS — MAPS TO MULTIPLE TEAMS",IF(COUNTIF($H$6:$H$481,$H411)&gt;1,"DUPLICATE x"&amp;COUNTIF($H$6:$H$481,$H411)&amp;" -&gt; "&amp;$I411,"")))</f>
        <v/>
      </c>
      <c r="K411" t="inlineStr">
        <is>
          <t>Marshall Thundering Herd</t>
        </is>
      </c>
    </row>
    <row r="412">
      <c r="H412" t="inlineStr">
        <is>
          <t>Mountaineers-APP</t>
        </is>
      </c>
      <c r="J412">
        <f>IF($H412="","",IF(SUMPRODUCT(--(LOWER(TRIM($H$6:$H$481))=LOWER(TRIM($H412))),--($I$6:$I$481&lt;&gt;$I412))&gt;0,"AMBIGUOUS — MAPS TO MULTIPLE TEAMS",IF(COUNTIF($H$6:$H$481,$H412)&gt;1,"DUPLICATE x"&amp;COUNTIF($H$6:$H$481,$H412)&amp;" -&gt; "&amp;$I412,"")))</f>
        <v/>
      </c>
      <c r="K412" t="inlineStr">
        <is>
          <t>Old Dominion Monarchs</t>
        </is>
      </c>
    </row>
    <row r="413">
      <c r="H413" t="inlineStr">
        <is>
          <t>ARST</t>
        </is>
      </c>
      <c r="J413">
        <f>IF($H413="","",IF(SUMPRODUCT(--(LOWER(TRIM($H$6:$H$481))=LOWER(TRIM($H413))),--($I$6:$I$481&lt;&gt;$I413))&gt;0,"AMBIGUOUS — MAPS TO MULTIPLE TEAMS",IF(COUNTIF($H$6:$H$481,$H413)&gt;1,"DUPLICATE x"&amp;COUNTIF($H$6:$H$481,$H413)&amp;" -&gt; "&amp;$I413,"")))</f>
        <v/>
      </c>
      <c r="K413" t="inlineStr">
        <is>
          <t>South Alabama Jaguars</t>
        </is>
      </c>
    </row>
    <row r="414">
      <c r="H414" t="inlineStr">
        <is>
          <t>Arkansas State</t>
        </is>
      </c>
      <c r="J414">
        <f>IF($H414="","",IF(SUMPRODUCT(--(LOWER(TRIM($H$6:$H$481))=LOWER(TRIM($H414))),--($I$6:$I$481&lt;&gt;$I414))&gt;0,"AMBIGUOUS — MAPS TO MULTIPLE TEAMS",IF(COUNTIF($H$6:$H$481,$H414)&gt;1,"DUPLICATE x"&amp;COUNTIF($H$6:$H$481,$H414)&amp;" -&gt; "&amp;$I414,"")))</f>
        <v/>
      </c>
      <c r="K414" t="inlineStr">
        <is>
          <t>Southern Miss Golden Eagles</t>
        </is>
      </c>
    </row>
    <row r="415">
      <c r="H415" t="inlineStr">
        <is>
          <t>A-State</t>
        </is>
      </c>
      <c r="J415">
        <f>IF($H415="","",IF(SUMPRODUCT(--(LOWER(TRIM($H$6:$H$481))=LOWER(TRIM($H415))),--($I$6:$I$481&lt;&gt;$I415))&gt;0,"AMBIGUOUS — MAPS TO MULTIPLE TEAMS",IF(COUNTIF($H$6:$H$481,$H415)&gt;1,"DUPLICATE x"&amp;COUNTIF($H$6:$H$481,$H415)&amp;" -&gt; "&amp;$I415,"")))</f>
        <v/>
      </c>
      <c r="K415" t="inlineStr">
        <is>
          <t>Troy Trojans</t>
        </is>
      </c>
    </row>
    <row r="416">
      <c r="H416" t="inlineStr">
        <is>
          <t>Ark State</t>
        </is>
      </c>
      <c r="J416">
        <f>IF($H416="","",IF(SUMPRODUCT(--(LOWER(TRIM($H$6:$H$481))=LOWER(TRIM($H416))),--($I$6:$I$481&lt;&gt;$I416))&gt;0,"AMBIGUOUS — MAPS TO MULTIPLE TEAMS",IF(COUNTIF($H$6:$H$481,$H416)&gt;1,"DUPLICATE x"&amp;COUNTIF($H$6:$H$481,$H416)&amp;" -&gt; "&amp;$I416,"")))</f>
        <v/>
      </c>
      <c r="K416" t="inlineStr">
        <is>
          <t>UL Monroe Warhawks</t>
        </is>
      </c>
    </row>
    <row r="417">
      <c r="H417" t="inlineStr">
        <is>
          <t>Red Wolves</t>
        </is>
      </c>
      <c r="J417">
        <f>IF($H417="","",IF(SUMPRODUCT(--(LOWER(TRIM($H$6:$H$481))=LOWER(TRIM($H417))),--($I$6:$I$481&lt;&gt;$I417))&gt;0,"AMBIGUOUS — MAPS TO MULTIPLE TEAMS",IF(COUNTIF($H$6:$H$481,$H417)&gt;1,"DUPLICATE x"&amp;COUNTIF($H$6:$H$481,$H417)&amp;" -&gt; "&amp;$I417,"")))</f>
        <v/>
      </c>
      <c r="K417" t="inlineStr">
        <is>
          <t>Notre Dame Fighting Irish</t>
        </is>
      </c>
    </row>
    <row r="418">
      <c r="H418" t="inlineStr">
        <is>
          <t>CCU</t>
        </is>
      </c>
      <c r="J418">
        <f>IF($H418="","",IF(SUMPRODUCT(--(LOWER(TRIM($H$6:$H$481))=LOWER(TRIM($H418))),--($I$6:$I$481&lt;&gt;$I418))&gt;0,"AMBIGUOUS — MAPS TO MULTIPLE TEAMS",IF(COUNTIF($H$6:$H$481,$H418)&gt;1,"DUPLICATE x"&amp;COUNTIF($H$6:$H$481,$H418)&amp;" -&gt; "&amp;$I418,"")))</f>
        <v/>
      </c>
      <c r="K418" t="inlineStr">
        <is>
          <t>UConn Huskies</t>
        </is>
      </c>
    </row>
    <row r="419">
      <c r="H419" t="inlineStr">
        <is>
          <t>Coastal Carolina</t>
        </is>
      </c>
      <c r="J419">
        <f>IF($H419="","",IF(SUMPRODUCT(--(LOWER(TRIM($H$6:$H$481))=LOWER(TRIM($H419))),--($I$6:$I$481&lt;&gt;$I419))&gt;0,"AMBIGUOUS — MAPS TO MULTIPLE TEAMS",IF(COUNTIF($H$6:$H$481,$H419)&gt;1,"DUPLICATE x"&amp;COUNTIF($H$6:$H$481,$H419)&amp;" -&gt; "&amp;$I419,"")))</f>
        <v/>
      </c>
    </row>
    <row r="420">
      <c r="H420" t="inlineStr">
        <is>
          <t>Coastal</t>
        </is>
      </c>
      <c r="J420">
        <f>IF($H420="","",IF(SUMPRODUCT(--(LOWER(TRIM($H$6:$H$481))=LOWER(TRIM($H420))),--($I$6:$I$481&lt;&gt;$I420))&gt;0,"AMBIGUOUS — MAPS TO MULTIPLE TEAMS",IF(COUNTIF($H$6:$H$481,$H420)&gt;1,"DUPLICATE x"&amp;COUNTIF($H$6:$H$481,$H420)&amp;" -&gt; "&amp;$I420,"")))</f>
        <v/>
      </c>
    </row>
    <row r="421">
      <c r="H421" t="inlineStr">
        <is>
          <t>Chanticleers</t>
        </is>
      </c>
      <c r="J421">
        <f>IF($H421="","",IF(SUMPRODUCT(--(LOWER(TRIM($H$6:$H$481))=LOWER(TRIM($H421))),--($I$6:$I$481&lt;&gt;$I421))&gt;0,"AMBIGUOUS — MAPS TO MULTIPLE TEAMS",IF(COUNTIF($H$6:$H$481,$H421)&gt;1,"DUPLICATE x"&amp;COUNTIF($H$6:$H$481,$H421)&amp;" -&gt; "&amp;$I421,"")))</f>
        <v/>
      </c>
    </row>
    <row r="422">
      <c r="H422" t="inlineStr">
        <is>
          <t>GASO</t>
        </is>
      </c>
      <c r="J422">
        <f>IF($H422="","",IF(SUMPRODUCT(--(LOWER(TRIM($H$6:$H$481))=LOWER(TRIM($H422))),--($I$6:$I$481&lt;&gt;$I422))&gt;0,"AMBIGUOUS — MAPS TO MULTIPLE TEAMS",IF(COUNTIF($H$6:$H$481,$H422)&gt;1,"DUPLICATE x"&amp;COUNTIF($H$6:$H$481,$H422)&amp;" -&gt; "&amp;$I422,"")))</f>
        <v/>
      </c>
    </row>
    <row r="423">
      <c r="H423" t="inlineStr">
        <is>
          <t>Georgia Southern</t>
        </is>
      </c>
      <c r="J423">
        <f>IF($H423="","",IF(SUMPRODUCT(--(LOWER(TRIM($H$6:$H$481))=LOWER(TRIM($H423))),--($I$6:$I$481&lt;&gt;$I423))&gt;0,"AMBIGUOUS — MAPS TO MULTIPLE TEAMS",IF(COUNTIF($H$6:$H$481,$H423)&gt;1,"DUPLICATE x"&amp;COUNTIF($H$6:$H$481,$H423)&amp;" -&gt; "&amp;$I423,"")))</f>
        <v/>
      </c>
    </row>
    <row r="424">
      <c r="H424" t="inlineStr">
        <is>
          <t>Ga Southern</t>
        </is>
      </c>
      <c r="J424">
        <f>IF($H424="","",IF(SUMPRODUCT(--(LOWER(TRIM($H$6:$H$481))=LOWER(TRIM($H424))),--($I$6:$I$481&lt;&gt;$I424))&gt;0,"AMBIGUOUS — MAPS TO MULTIPLE TEAMS",IF(COUNTIF($H$6:$H$481,$H424)&gt;1,"DUPLICATE x"&amp;COUNTIF($H$6:$H$481,$H424)&amp;" -&gt; "&amp;$I424,"")))</f>
        <v/>
      </c>
    </row>
    <row r="425">
      <c r="H425" t="inlineStr">
        <is>
          <t>Eagles-GASO</t>
        </is>
      </c>
      <c r="J425">
        <f>IF($H425="","",IF(SUMPRODUCT(--(LOWER(TRIM($H$6:$H$481))=LOWER(TRIM($H425))),--($I$6:$I$481&lt;&gt;$I425))&gt;0,"AMBIGUOUS — MAPS TO MULTIPLE TEAMS",IF(COUNTIF($H$6:$H$481,$H425)&gt;1,"DUPLICATE x"&amp;COUNTIF($H$6:$H$481,$H425)&amp;" -&gt; "&amp;$I425,"")))</f>
        <v/>
      </c>
    </row>
    <row r="426">
      <c r="H426" t="inlineStr">
        <is>
          <t>GAST</t>
        </is>
      </c>
      <c r="J426">
        <f>IF($H426="","",IF(SUMPRODUCT(--(LOWER(TRIM($H$6:$H$481))=LOWER(TRIM($H426))),--($I$6:$I$481&lt;&gt;$I426))&gt;0,"AMBIGUOUS — MAPS TO MULTIPLE TEAMS",IF(COUNTIF($H$6:$H$481,$H426)&gt;1,"DUPLICATE x"&amp;COUNTIF($H$6:$H$481,$H426)&amp;" -&gt; "&amp;$I426,"")))</f>
        <v/>
      </c>
    </row>
    <row r="427">
      <c r="H427" t="inlineStr">
        <is>
          <t>Georgia State</t>
        </is>
      </c>
      <c r="J427">
        <f>IF($H427="","",IF(SUMPRODUCT(--(LOWER(TRIM($H$6:$H$481))=LOWER(TRIM($H427))),--($I$6:$I$481&lt;&gt;$I427))&gt;0,"AMBIGUOUS — MAPS TO MULTIPLE TEAMS",IF(COUNTIF($H$6:$H$481,$H427)&gt;1,"DUPLICATE x"&amp;COUNTIF($H$6:$H$481,$H427)&amp;" -&gt; "&amp;$I427,"")))</f>
        <v/>
      </c>
    </row>
    <row r="428">
      <c r="H428" t="inlineStr">
        <is>
          <t>Ga State</t>
        </is>
      </c>
      <c r="J428">
        <f>IF($H428="","",IF(SUMPRODUCT(--(LOWER(TRIM($H$6:$H$481))=LOWER(TRIM($H428))),--($I$6:$I$481&lt;&gt;$I428))&gt;0,"AMBIGUOUS — MAPS TO MULTIPLE TEAMS",IF(COUNTIF($H$6:$H$481,$H428)&gt;1,"DUPLICATE x"&amp;COUNTIF($H$6:$H$481,$H428)&amp;" -&gt; "&amp;$I428,"")))</f>
        <v/>
      </c>
    </row>
    <row r="429">
      <c r="H429" t="inlineStr">
        <is>
          <t>Panthers-GAST</t>
        </is>
      </c>
      <c r="J429">
        <f>IF($H429="","",IF(SUMPRODUCT(--(LOWER(TRIM($H$6:$H$481))=LOWER(TRIM($H429))),--($I$6:$I$481&lt;&gt;$I429))&gt;0,"AMBIGUOUS — MAPS TO MULTIPLE TEAMS",IF(COUNTIF($H$6:$H$481,$H429)&gt;1,"DUPLICATE x"&amp;COUNTIF($H$6:$H$481,$H429)&amp;" -&gt; "&amp;$I429,"")))</f>
        <v/>
      </c>
    </row>
    <row r="430">
      <c r="H430" t="inlineStr">
        <is>
          <t>JMU</t>
        </is>
      </c>
      <c r="J430">
        <f>IF($H430="","",IF(SUMPRODUCT(--(LOWER(TRIM($H$6:$H$481))=LOWER(TRIM($H430))),--($I$6:$I$481&lt;&gt;$I430))&gt;0,"AMBIGUOUS — MAPS TO MULTIPLE TEAMS",IF(COUNTIF($H$6:$H$481,$H430)&gt;1,"DUPLICATE x"&amp;COUNTIF($H$6:$H$481,$H430)&amp;" -&gt; "&amp;$I430,"")))</f>
        <v/>
      </c>
    </row>
    <row r="431">
      <c r="H431" t="inlineStr">
        <is>
          <t>James Madison</t>
        </is>
      </c>
      <c r="J431">
        <f>IF($H431="","",IF(SUMPRODUCT(--(LOWER(TRIM($H$6:$H$481))=LOWER(TRIM($H431))),--($I$6:$I$481&lt;&gt;$I431))&gt;0,"AMBIGUOUS — MAPS TO MULTIPLE TEAMS",IF(COUNTIF($H$6:$H$481,$H431)&gt;1,"DUPLICATE x"&amp;COUNTIF($H$6:$H$481,$H431)&amp;" -&gt; "&amp;$I431,"")))</f>
        <v/>
      </c>
    </row>
    <row r="432">
      <c r="H432" t="inlineStr">
        <is>
          <t>Dukes</t>
        </is>
      </c>
      <c r="J432">
        <f>IF($H432="","",IF(SUMPRODUCT(--(LOWER(TRIM($H$6:$H$481))=LOWER(TRIM($H432))),--($I$6:$I$481&lt;&gt;$I432))&gt;0,"AMBIGUOUS — MAPS TO MULTIPLE TEAMS",IF(COUNTIF($H$6:$H$481,$H432)&gt;1,"DUPLICATE x"&amp;COUNTIF($H$6:$H$481,$H432)&amp;" -&gt; "&amp;$I432,"")))</f>
        <v/>
      </c>
    </row>
    <row r="433">
      <c r="H433" t="inlineStr">
        <is>
          <t>ULL</t>
        </is>
      </c>
      <c r="J433">
        <f>IF($H433="","",IF(SUMPRODUCT(--(LOWER(TRIM($H$6:$H$481))=LOWER(TRIM($H433))),--($I$6:$I$481&lt;&gt;$I433))&gt;0,"AMBIGUOUS — MAPS TO MULTIPLE TEAMS",IF(COUNTIF($H$6:$H$481,$H433)&gt;1,"DUPLICATE x"&amp;COUNTIF($H$6:$H$481,$H433)&amp;" -&gt; "&amp;$I433,"")))</f>
        <v/>
      </c>
    </row>
    <row r="434">
      <c r="H434" t="inlineStr">
        <is>
          <t>Louisiana</t>
        </is>
      </c>
      <c r="J434">
        <f>IF($H434="","",IF(SUMPRODUCT(--(LOWER(TRIM($H$6:$H$481))=LOWER(TRIM($H434))),--($I$6:$I$481&lt;&gt;$I434))&gt;0,"AMBIGUOUS — MAPS TO MULTIPLE TEAMS",IF(COUNTIF($H$6:$H$481,$H434)&gt;1,"DUPLICATE x"&amp;COUNTIF($H$6:$H$481,$H434)&amp;" -&gt; "&amp;$I434,"")))</f>
        <v/>
      </c>
    </row>
    <row r="435">
      <c r="H435" t="inlineStr">
        <is>
          <t>UL Lafayette</t>
        </is>
      </c>
      <c r="J435">
        <f>IF($H435="","",IF(SUMPRODUCT(--(LOWER(TRIM($H$6:$H$481))=LOWER(TRIM($H435))),--($I$6:$I$481&lt;&gt;$I435))&gt;0,"AMBIGUOUS — MAPS TO MULTIPLE TEAMS",IF(COUNTIF($H$6:$H$481,$H435)&gt;1,"DUPLICATE x"&amp;COUNTIF($H$6:$H$481,$H435)&amp;" -&gt; "&amp;$I435,"")))</f>
        <v/>
      </c>
    </row>
    <row r="436">
      <c r="H436" t="inlineStr">
        <is>
          <t>Louisiana-Lafayette</t>
        </is>
      </c>
      <c r="J436">
        <f>IF($H436="","",IF(SUMPRODUCT(--(LOWER(TRIM($H$6:$H$481))=LOWER(TRIM($H436))),--($I$6:$I$481&lt;&gt;$I436))&gt;0,"AMBIGUOUS — MAPS TO MULTIPLE TEAMS",IF(COUNTIF($H$6:$H$481,$H436)&gt;1,"DUPLICATE x"&amp;COUNTIF($H$6:$H$481,$H436)&amp;" -&gt; "&amp;$I436,"")))</f>
        <v/>
      </c>
    </row>
    <row r="437">
      <c r="H437" t="inlineStr">
        <is>
          <t>Ragin Cajuns</t>
        </is>
      </c>
      <c r="J437">
        <f>IF($H437="","",IF(SUMPRODUCT(--(LOWER(TRIM($H$6:$H$481))=LOWER(TRIM($H437))),--($I$6:$I$481&lt;&gt;$I437))&gt;0,"AMBIGUOUS — MAPS TO MULTIPLE TEAMS",IF(COUNTIF($H$6:$H$481,$H437)&gt;1,"DUPLICATE x"&amp;COUNTIF($H$6:$H$481,$H437)&amp;" -&gt; "&amp;$I437,"")))</f>
        <v/>
      </c>
    </row>
    <row r="438">
      <c r="H438" t="inlineStr">
        <is>
          <t>LT</t>
        </is>
      </c>
      <c r="J438">
        <f>IF($H438="","",IF(SUMPRODUCT(--(LOWER(TRIM($H$6:$H$481))=LOWER(TRIM($H438))),--($I$6:$I$481&lt;&gt;$I438))&gt;0,"AMBIGUOUS — MAPS TO MULTIPLE TEAMS",IF(COUNTIF($H$6:$H$481,$H438)&gt;1,"DUPLICATE x"&amp;COUNTIF($H$6:$H$481,$H438)&amp;" -&gt; "&amp;$I438,"")))</f>
        <v/>
      </c>
    </row>
    <row r="439">
      <c r="H439" t="inlineStr">
        <is>
          <t>Louisiana Tech</t>
        </is>
      </c>
      <c r="J439">
        <f>IF($H439="","",IF(SUMPRODUCT(--(LOWER(TRIM($H$6:$H$481))=LOWER(TRIM($H439))),--($I$6:$I$481&lt;&gt;$I439))&gt;0,"AMBIGUOUS — MAPS TO MULTIPLE TEAMS",IF(COUNTIF($H$6:$H$481,$H439)&gt;1,"DUPLICATE x"&amp;COUNTIF($H$6:$H$481,$H439)&amp;" -&gt; "&amp;$I439,"")))</f>
        <v/>
      </c>
    </row>
    <row r="440">
      <c r="H440" t="inlineStr">
        <is>
          <t>La Tech</t>
        </is>
      </c>
      <c r="J440">
        <f>IF($H440="","",IF(SUMPRODUCT(--(LOWER(TRIM($H$6:$H$481))=LOWER(TRIM($H440))),--($I$6:$I$481&lt;&gt;$I440))&gt;0,"AMBIGUOUS — MAPS TO MULTIPLE TEAMS",IF(COUNTIF($H$6:$H$481,$H440)&gt;1,"DUPLICATE x"&amp;COUNTIF($H$6:$H$481,$H440)&amp;" -&gt; "&amp;$I440,"")))</f>
        <v/>
      </c>
    </row>
    <row r="441">
      <c r="H441" t="inlineStr">
        <is>
          <t>LATECH</t>
        </is>
      </c>
      <c r="J441">
        <f>IF($H441="","",IF(SUMPRODUCT(--(LOWER(TRIM($H$6:$H$481))=LOWER(TRIM($H441))),--($I$6:$I$481&lt;&gt;$I441))&gt;0,"AMBIGUOUS — MAPS TO MULTIPLE TEAMS",IF(COUNTIF($H$6:$H$481,$H441)&gt;1,"DUPLICATE x"&amp;COUNTIF($H$6:$H$481,$H441)&amp;" -&gt; "&amp;$I441,"")))</f>
        <v/>
      </c>
    </row>
    <row r="442">
      <c r="H442" t="inlineStr">
        <is>
          <t>Bulldogs-LT</t>
        </is>
      </c>
      <c r="J442">
        <f>IF($H442="","",IF(SUMPRODUCT(--(LOWER(TRIM($H$6:$H$481))=LOWER(TRIM($H442))),--($I$6:$I$481&lt;&gt;$I442))&gt;0,"AMBIGUOUS — MAPS TO MULTIPLE TEAMS",IF(COUNTIF($H$6:$H$481,$H442)&gt;1,"DUPLICATE x"&amp;COUNTIF($H$6:$H$481,$H442)&amp;" -&gt; "&amp;$I442,"")))</f>
        <v/>
      </c>
    </row>
    <row r="443">
      <c r="H443" t="inlineStr">
        <is>
          <t>MRSH</t>
        </is>
      </c>
      <c r="J443">
        <f>IF($H443="","",IF(SUMPRODUCT(--(LOWER(TRIM($H$6:$H$481))=LOWER(TRIM($H443))),--($I$6:$I$481&lt;&gt;$I443))&gt;0,"AMBIGUOUS — MAPS TO MULTIPLE TEAMS",IF(COUNTIF($H$6:$H$481,$H443)&gt;1,"DUPLICATE x"&amp;COUNTIF($H$6:$H$481,$H443)&amp;" -&gt; "&amp;$I443,"")))</f>
        <v/>
      </c>
    </row>
    <row r="444">
      <c r="H444" t="inlineStr">
        <is>
          <t>Marshall</t>
        </is>
      </c>
      <c r="J444">
        <f>IF($H444="","",IF(SUMPRODUCT(--(LOWER(TRIM($H$6:$H$481))=LOWER(TRIM($H444))),--($I$6:$I$481&lt;&gt;$I444))&gt;0,"AMBIGUOUS — MAPS TO MULTIPLE TEAMS",IF(COUNTIF($H$6:$H$481,$H444)&gt;1,"DUPLICATE x"&amp;COUNTIF($H$6:$H$481,$H444)&amp;" -&gt; "&amp;$I444,"")))</f>
        <v/>
      </c>
    </row>
    <row r="445">
      <c r="H445" t="inlineStr">
        <is>
          <t>Thundering Herd</t>
        </is>
      </c>
      <c r="J445">
        <f>IF($H445="","",IF(SUMPRODUCT(--(LOWER(TRIM($H$6:$H$481))=LOWER(TRIM($H445))),--($I$6:$I$481&lt;&gt;$I445))&gt;0,"AMBIGUOUS — MAPS TO MULTIPLE TEAMS",IF(COUNTIF($H$6:$H$481,$H445)&gt;1,"DUPLICATE x"&amp;COUNTIF($H$6:$H$481,$H445)&amp;" -&gt; "&amp;$I445,"")))</f>
        <v/>
      </c>
    </row>
    <row r="446">
      <c r="H446" t="inlineStr">
        <is>
          <t>ODU</t>
        </is>
      </c>
      <c r="J446">
        <f>IF($H446="","",IF(SUMPRODUCT(--(LOWER(TRIM($H$6:$H$481))=LOWER(TRIM($H446))),--($I$6:$I$481&lt;&gt;$I446))&gt;0,"AMBIGUOUS — MAPS TO MULTIPLE TEAMS",IF(COUNTIF($H$6:$H$481,$H446)&gt;1,"DUPLICATE x"&amp;COUNTIF($H$6:$H$481,$H446)&amp;" -&gt; "&amp;$I446,"")))</f>
        <v/>
      </c>
    </row>
    <row r="447">
      <c r="H447" t="inlineStr">
        <is>
          <t>Old Dominion</t>
        </is>
      </c>
      <c r="J447">
        <f>IF($H447="","",IF(SUMPRODUCT(--(LOWER(TRIM($H$6:$H$481))=LOWER(TRIM($H447))),--($I$6:$I$481&lt;&gt;$I447))&gt;0,"AMBIGUOUS — MAPS TO MULTIPLE TEAMS",IF(COUNTIF($H$6:$H$481,$H447)&gt;1,"DUPLICATE x"&amp;COUNTIF($H$6:$H$481,$H447)&amp;" -&gt; "&amp;$I447,"")))</f>
        <v/>
      </c>
    </row>
    <row r="448">
      <c r="H448" t="inlineStr">
        <is>
          <t>Monarchs</t>
        </is>
      </c>
      <c r="J448">
        <f>IF($H448="","",IF(SUMPRODUCT(--(LOWER(TRIM($H$6:$H$481))=LOWER(TRIM($H448))),--($I$6:$I$481&lt;&gt;$I448))&gt;0,"AMBIGUOUS — MAPS TO MULTIPLE TEAMS",IF(COUNTIF($H$6:$H$481,$H448)&gt;1,"DUPLICATE x"&amp;COUNTIF($H$6:$H$481,$H448)&amp;" -&gt; "&amp;$I448,"")))</f>
        <v/>
      </c>
    </row>
    <row r="449">
      <c r="H449" t="inlineStr">
        <is>
          <t>USA</t>
        </is>
      </c>
      <c r="J449">
        <f>IF($H449="","",IF(SUMPRODUCT(--(LOWER(TRIM($H$6:$H$481))=LOWER(TRIM($H449))),--($I$6:$I$481&lt;&gt;$I449))&gt;0,"AMBIGUOUS — MAPS TO MULTIPLE TEAMS",IF(COUNTIF($H$6:$H$481,$H449)&gt;1,"DUPLICATE x"&amp;COUNTIF($H$6:$H$481,$H449)&amp;" -&gt; "&amp;$I449,"")))</f>
        <v/>
      </c>
    </row>
    <row r="450">
      <c r="H450" t="inlineStr">
        <is>
          <t>South Alabama</t>
        </is>
      </c>
      <c r="J450">
        <f>IF($H450="","",IF(SUMPRODUCT(--(LOWER(TRIM($H$6:$H$481))=LOWER(TRIM($H450))),--($I$6:$I$481&lt;&gt;$I450))&gt;0,"AMBIGUOUS — MAPS TO MULTIPLE TEAMS",IF(COUNTIF($H$6:$H$481,$H450)&gt;1,"DUPLICATE x"&amp;COUNTIF($H$6:$H$481,$H450)&amp;" -&gt; "&amp;$I450,"")))</f>
        <v/>
      </c>
    </row>
    <row r="451">
      <c r="H451" t="inlineStr">
        <is>
          <t>S Alabama</t>
        </is>
      </c>
      <c r="J451">
        <f>IF($H451="","",IF(SUMPRODUCT(--(LOWER(TRIM($H$6:$H$481))=LOWER(TRIM($H451))),--($I$6:$I$481&lt;&gt;$I451))&gt;0,"AMBIGUOUS — MAPS TO MULTIPLE TEAMS",IF(COUNTIF($H$6:$H$481,$H451)&gt;1,"DUPLICATE x"&amp;COUNTIF($H$6:$H$481,$H451)&amp;" -&gt; "&amp;$I451,"")))</f>
        <v/>
      </c>
    </row>
    <row r="452">
      <c r="H452" t="inlineStr">
        <is>
          <t>Jaguars-USA</t>
        </is>
      </c>
      <c r="J452">
        <f>IF($H452="","",IF(SUMPRODUCT(--(LOWER(TRIM($H$6:$H$481))=LOWER(TRIM($H452))),--($I$6:$I$481&lt;&gt;$I452))&gt;0,"AMBIGUOUS — MAPS TO MULTIPLE TEAMS",IF(COUNTIF($H$6:$H$481,$H452)&gt;1,"DUPLICATE x"&amp;COUNTIF($H$6:$H$481,$H452)&amp;" -&gt; "&amp;$I452,"")))</f>
        <v/>
      </c>
    </row>
    <row r="453">
      <c r="H453" t="inlineStr">
        <is>
          <t>USM</t>
        </is>
      </c>
      <c r="J453">
        <f>IF($H453="","",IF(SUMPRODUCT(--(LOWER(TRIM($H$6:$H$481))=LOWER(TRIM($H453))),--($I$6:$I$481&lt;&gt;$I453))&gt;0,"AMBIGUOUS — MAPS TO MULTIPLE TEAMS",IF(COUNTIF($H$6:$H$481,$H453)&gt;1,"DUPLICATE x"&amp;COUNTIF($H$6:$H$481,$H453)&amp;" -&gt; "&amp;$I453,"")))</f>
        <v/>
      </c>
    </row>
    <row r="454">
      <c r="H454" t="inlineStr">
        <is>
          <t>Southern Miss</t>
        </is>
      </c>
      <c r="J454">
        <f>IF($H454="","",IF(SUMPRODUCT(--(LOWER(TRIM($H$6:$H$481))=LOWER(TRIM($H454))),--($I$6:$I$481&lt;&gt;$I454))&gt;0,"AMBIGUOUS — MAPS TO MULTIPLE TEAMS",IF(COUNTIF($H$6:$H$481,$H454)&gt;1,"DUPLICATE x"&amp;COUNTIF($H$6:$H$481,$H454)&amp;" -&gt; "&amp;$I454,"")))</f>
        <v/>
      </c>
    </row>
    <row r="455">
      <c r="H455" t="inlineStr">
        <is>
          <t>Southern Mississippi</t>
        </is>
      </c>
      <c r="J455">
        <f>IF($H455="","",IF(SUMPRODUCT(--(LOWER(TRIM($H$6:$H$481))=LOWER(TRIM($H455))),--($I$6:$I$481&lt;&gt;$I455))&gt;0,"AMBIGUOUS — MAPS TO MULTIPLE TEAMS",IF(COUNTIF($H$6:$H$481,$H455)&gt;1,"DUPLICATE x"&amp;COUNTIF($H$6:$H$481,$H455)&amp;" -&gt; "&amp;$I455,"")))</f>
        <v/>
      </c>
    </row>
    <row r="456">
      <c r="H456" t="inlineStr">
        <is>
          <t>So Miss</t>
        </is>
      </c>
      <c r="J456">
        <f>IF($H456="","",IF(SUMPRODUCT(--(LOWER(TRIM($H$6:$H$481))=LOWER(TRIM($H456))),--($I$6:$I$481&lt;&gt;$I456))&gt;0,"AMBIGUOUS — MAPS TO MULTIPLE TEAMS",IF(COUNTIF($H$6:$H$481,$H456)&gt;1,"DUPLICATE x"&amp;COUNTIF($H$6:$H$481,$H456)&amp;" -&gt; "&amp;$I456,"")))</f>
        <v/>
      </c>
    </row>
    <row r="457">
      <c r="H457" t="inlineStr">
        <is>
          <t>Golden Eagles</t>
        </is>
      </c>
      <c r="J457">
        <f>IF($H457="","",IF(SUMPRODUCT(--(LOWER(TRIM($H$6:$H$481))=LOWER(TRIM($H457))),--($I$6:$I$481&lt;&gt;$I457))&gt;0,"AMBIGUOUS — MAPS TO MULTIPLE TEAMS",IF(COUNTIF($H$6:$H$481,$H457)&gt;1,"DUPLICATE x"&amp;COUNTIF($H$6:$H$481,$H457)&amp;" -&gt; "&amp;$I457,"")))</f>
        <v/>
      </c>
    </row>
    <row r="458">
      <c r="H458" t="inlineStr">
        <is>
          <t>TROY</t>
        </is>
      </c>
      <c r="J458">
        <f>IF($H458="","",IF(SUMPRODUCT(--(LOWER(TRIM($H$6:$H$481))=LOWER(TRIM($H458))),--($I$6:$I$481&lt;&gt;$I458))&gt;0,"AMBIGUOUS — MAPS TO MULTIPLE TEAMS",IF(COUNTIF($H$6:$H$481,$H458)&gt;1,"DUPLICATE x"&amp;COUNTIF($H$6:$H$481,$H458)&amp;" -&gt; "&amp;$I458,"")))</f>
        <v/>
      </c>
    </row>
    <row r="459">
      <c r="H459" t="inlineStr">
        <is>
          <t>Trojans-TROY</t>
        </is>
      </c>
      <c r="J459">
        <f>IF($H459="","",IF(SUMPRODUCT(--(LOWER(TRIM($H$6:$H$481))=LOWER(TRIM($H459))),--($I$6:$I$481&lt;&gt;$I459))&gt;0,"AMBIGUOUS — MAPS TO MULTIPLE TEAMS",IF(COUNTIF($H$6:$H$481,$H459)&gt;1,"DUPLICATE x"&amp;COUNTIF($H$6:$H$481,$H459)&amp;" -&gt; "&amp;$I459,"")))</f>
        <v/>
      </c>
    </row>
    <row r="460">
      <c r="H460" t="inlineStr">
        <is>
          <t>ULM</t>
        </is>
      </c>
      <c r="J460">
        <f>IF($H460="","",IF(SUMPRODUCT(--(LOWER(TRIM($H$6:$H$481))=LOWER(TRIM($H460))),--($I$6:$I$481&lt;&gt;$I460))&gt;0,"AMBIGUOUS — MAPS TO MULTIPLE TEAMS",IF(COUNTIF($H$6:$H$481,$H460)&gt;1,"DUPLICATE x"&amp;COUNTIF($H$6:$H$481,$H460)&amp;" -&gt; "&amp;$I460,"")))</f>
        <v/>
      </c>
    </row>
    <row r="461">
      <c r="H461" t="inlineStr">
        <is>
          <t>Louisiana-Monroe</t>
        </is>
      </c>
      <c r="J461">
        <f>IF($H461="","",IF(SUMPRODUCT(--(LOWER(TRIM($H$6:$H$481))=LOWER(TRIM($H461))),--($I$6:$I$481&lt;&gt;$I461))&gt;0,"AMBIGUOUS — MAPS TO MULTIPLE TEAMS",IF(COUNTIF($H$6:$H$481,$H461)&gt;1,"DUPLICATE x"&amp;COUNTIF($H$6:$H$481,$H461)&amp;" -&gt; "&amp;$I461,"")))</f>
        <v/>
      </c>
    </row>
    <row r="462">
      <c r="H462" t="inlineStr">
        <is>
          <t>UL Monroe</t>
        </is>
      </c>
      <c r="J462">
        <f>IF($H462="","",IF(SUMPRODUCT(--(LOWER(TRIM($H$6:$H$481))=LOWER(TRIM($H462))),--($I$6:$I$481&lt;&gt;$I462))&gt;0,"AMBIGUOUS — MAPS TO MULTIPLE TEAMS",IF(COUNTIF($H$6:$H$481,$H462)&gt;1,"DUPLICATE x"&amp;COUNTIF($H$6:$H$481,$H462)&amp;" -&gt; "&amp;$I462,"")))</f>
        <v/>
      </c>
    </row>
    <row r="463">
      <c r="H463" t="inlineStr">
        <is>
          <t>Warhawks</t>
        </is>
      </c>
      <c r="J463">
        <f>IF($H463="","",IF(SUMPRODUCT(--(LOWER(TRIM($H$6:$H$481))=LOWER(TRIM($H463))),--($I$6:$I$481&lt;&gt;$I463))&gt;0,"AMBIGUOUS — MAPS TO MULTIPLE TEAMS",IF(COUNTIF($H$6:$H$481,$H463)&gt;1,"DUPLICATE x"&amp;COUNTIF($H$6:$H$481,$H463)&amp;" -&gt; "&amp;$I463,"")))</f>
        <v/>
      </c>
    </row>
    <row r="464">
      <c r="H464" t="inlineStr">
        <is>
          <t>ND</t>
        </is>
      </c>
      <c r="J464">
        <f>IF($H464="","",IF(SUMPRODUCT(--(LOWER(TRIM($H$6:$H$481))=LOWER(TRIM($H464))),--($I$6:$I$481&lt;&gt;$I464))&gt;0,"AMBIGUOUS — MAPS TO MULTIPLE TEAMS",IF(COUNTIF($H$6:$H$481,$H464)&gt;1,"DUPLICATE x"&amp;COUNTIF($H$6:$H$481,$H464)&amp;" -&gt; "&amp;$I464,"")))</f>
        <v/>
      </c>
    </row>
    <row r="465">
      <c r="H465" t="inlineStr">
        <is>
          <t>Notre Dame</t>
        </is>
      </c>
      <c r="J465">
        <f>IF($H465="","",IF(SUMPRODUCT(--(LOWER(TRIM($H$6:$H$481))=LOWER(TRIM($H465))),--($I$6:$I$481&lt;&gt;$I465))&gt;0,"AMBIGUOUS — MAPS TO MULTIPLE TEAMS",IF(COUNTIF($H$6:$H$481,$H465)&gt;1,"DUPLICATE x"&amp;COUNTIF($H$6:$H$481,$H465)&amp;" -&gt; "&amp;$I465,"")))</f>
        <v/>
      </c>
    </row>
    <row r="466">
      <c r="H466" t="inlineStr">
        <is>
          <t>Irish</t>
        </is>
      </c>
      <c r="J466">
        <f>IF($H466="","",IF(SUMPRODUCT(--(LOWER(TRIM($H$6:$H$481))=LOWER(TRIM($H466))),--($I$6:$I$481&lt;&gt;$I466))&gt;0,"AMBIGUOUS — MAPS TO MULTIPLE TEAMS",IF(COUNTIF($H$6:$H$481,$H466)&gt;1,"DUPLICATE x"&amp;COUNTIF($H$6:$H$481,$H466)&amp;" -&gt; "&amp;$I466,"")))</f>
        <v/>
      </c>
    </row>
    <row r="467">
      <c r="H467" t="inlineStr">
        <is>
          <t>Fighting Irish</t>
        </is>
      </c>
      <c r="J467">
        <f>IF($H467="","",IF(SUMPRODUCT(--(LOWER(TRIM($H$6:$H$481))=LOWER(TRIM($H467))),--($I$6:$I$481&lt;&gt;$I467))&gt;0,"AMBIGUOUS — MAPS TO MULTIPLE TEAMS",IF(COUNTIF($H$6:$H$481,$H467)&gt;1,"DUPLICATE x"&amp;COUNTIF($H$6:$H$481,$H467)&amp;" -&gt; "&amp;$I467,"")))</f>
        <v/>
      </c>
    </row>
    <row r="468">
      <c r="H468" t="inlineStr">
        <is>
          <t>CONN</t>
        </is>
      </c>
      <c r="J468">
        <f>IF($H468="","",IF(SUMPRODUCT(--(LOWER(TRIM($H$6:$H$481))=LOWER(TRIM($H468))),--($I$6:$I$481&lt;&gt;$I468))&gt;0,"AMBIGUOUS — MAPS TO MULTIPLE TEAMS",IF(COUNTIF($H$6:$H$481,$H468)&gt;1,"DUPLICATE x"&amp;COUNTIF($H$6:$H$481,$H468)&amp;" -&gt; "&amp;$I468,"")))</f>
        <v/>
      </c>
    </row>
    <row r="469">
      <c r="H469" t="inlineStr">
        <is>
          <t>UConn</t>
        </is>
      </c>
      <c r="J469">
        <f>IF($H469="","",IF(SUMPRODUCT(--(LOWER(TRIM($H$6:$H$481))=LOWER(TRIM($H469))),--($I$6:$I$481&lt;&gt;$I469))&gt;0,"AMBIGUOUS — MAPS TO MULTIPLE TEAMS",IF(COUNTIF($H$6:$H$481,$H469)&gt;1,"DUPLICATE x"&amp;COUNTIF($H$6:$H$481,$H469)&amp;" -&gt; "&amp;$I469,"")))</f>
        <v/>
      </c>
    </row>
    <row r="470">
      <c r="H470" t="inlineStr">
        <is>
          <t>Connecticut</t>
        </is>
      </c>
      <c r="J470">
        <f>IF($H470="","",IF(SUMPRODUCT(--(LOWER(TRIM($H$6:$H$481))=LOWER(TRIM($H470))),--($I$6:$I$481&lt;&gt;$I470))&gt;0,"AMBIGUOUS — MAPS TO MULTIPLE TEAMS",IF(COUNTIF($H$6:$H$481,$H470)&gt;1,"DUPLICATE x"&amp;COUNTIF($H$6:$H$481,$H470)&amp;" -&gt; "&amp;$I470,"")))</f>
        <v/>
      </c>
    </row>
    <row r="471">
      <c r="H471" t="inlineStr">
        <is>
          <t>Huskies-CONN</t>
        </is>
      </c>
      <c r="J471">
        <f>IF($H471="","",IF(SUMPRODUCT(--(LOWER(TRIM($H$6:$H$481))=LOWER(TRIM($H471))),--($I$6:$I$481&lt;&gt;$I471))&gt;0,"AMBIGUOUS — MAPS TO MULTIPLE TEAMS",IF(COUNTIF($H$6:$H$481,$H471)&gt;1,"DUPLICATE x"&amp;COUNTIF($H$6:$H$481,$H471)&amp;" -&gt; "&amp;$I471,"")))</f>
        <v/>
      </c>
    </row>
    <row r="472">
      <c r="J472">
        <f>IF($H472="","",IF(SUMPRODUCT(--(LOWER(TRIM($H$6:$H$481))=LOWER(TRIM($H472))),--($I$6:$I$481&lt;&gt;$I472))&gt;0,"AMBIGUOUS — MAPS TO MULTIPLE TEAMS",IF(COUNTIF($H$6:$H$481,$H472)&gt;1,"DUPLICATE x"&amp;COUNTIF($H$6:$H$481,$H472)&amp;" -&gt; "&amp;$I472,"")))</f>
        <v/>
      </c>
    </row>
    <row r="473">
      <c r="J473">
        <f>IF($H473="","",IF(SUMPRODUCT(--(LOWER(TRIM($H$6:$H$481))=LOWER(TRIM($H473))),--($I$6:$I$481&lt;&gt;$I473))&gt;0,"AMBIGUOUS — MAPS TO MULTIPLE TEAMS",IF(COUNTIF($H$6:$H$481,$H473)&gt;1,"DUPLICATE x"&amp;COUNTIF($H$6:$H$481,$H473)&amp;" -&gt; "&amp;$I473,"")))</f>
        <v/>
      </c>
    </row>
    <row r="474">
      <c r="J474">
        <f>IF($H474="","",IF(SUMPRODUCT(--(LOWER(TRIM($H$6:$H$481))=LOWER(TRIM($H474))),--($I$6:$I$481&lt;&gt;$I474))&gt;0,"AMBIGUOUS — MAPS TO MULTIPLE TEAMS",IF(COUNTIF($H$6:$H$481,$H474)&gt;1,"DUPLICATE x"&amp;COUNTIF($H$6:$H$481,$H474)&amp;" -&gt; "&amp;$I474,"")))</f>
        <v/>
      </c>
    </row>
    <row r="475">
      <c r="J475">
        <f>IF($H475="","",IF(SUMPRODUCT(--(LOWER(TRIM($H$6:$H$481))=LOWER(TRIM($H475))),--($I$6:$I$481&lt;&gt;$I475))&gt;0,"AMBIGUOUS — MAPS TO MULTIPLE TEAMS",IF(COUNTIF($H$6:$H$481,$H475)&gt;1,"DUPLICATE x"&amp;COUNTIF($H$6:$H$481,$H475)&amp;" -&gt; "&amp;$I475,"")))</f>
        <v/>
      </c>
    </row>
    <row r="476">
      <c r="J476">
        <f>IF($H476="","",IF(SUMPRODUCT(--(LOWER(TRIM($H$6:$H$481))=LOWER(TRIM($H476))),--($I$6:$I$481&lt;&gt;$I476))&gt;0,"AMBIGUOUS — MAPS TO MULTIPLE TEAMS",IF(COUNTIF($H$6:$H$481,$H476)&gt;1,"DUPLICATE x"&amp;COUNTIF($H$6:$H$481,$H476)&amp;" -&gt; "&amp;$I476,"")))</f>
        <v/>
      </c>
    </row>
    <row r="477">
      <c r="J477">
        <f>IF($H477="","",IF(SUMPRODUCT(--(LOWER(TRIM($H$6:$H$481))=LOWER(TRIM($H477))),--($I$6:$I$481&lt;&gt;$I477))&gt;0,"AMBIGUOUS — MAPS TO MULTIPLE TEAMS",IF(COUNTIF($H$6:$H$481,$H477)&gt;1,"DUPLICATE x"&amp;COUNTIF($H$6:$H$481,$H477)&amp;" -&gt; "&amp;$I477,"")))</f>
        <v/>
      </c>
    </row>
    <row r="478">
      <c r="J478">
        <f>IF($H478="","",IF(SUMPRODUCT(--(LOWER(TRIM($H$6:$H$481))=LOWER(TRIM($H478))),--($I$6:$I$481&lt;&gt;$I478))&gt;0,"AMBIGUOUS — MAPS TO MULTIPLE TEAMS",IF(COUNTIF($H$6:$H$481,$H478)&gt;1,"DUPLICATE x"&amp;COUNTIF($H$6:$H$481,$H478)&amp;" -&gt; "&amp;$I478,"")))</f>
        <v/>
      </c>
    </row>
    <row r="479">
      <c r="J479">
        <f>IF($H479="","",IF(SUMPRODUCT(--(LOWER(TRIM($H$6:$H$481))=LOWER(TRIM($H479))),--($I$6:$I$481&lt;&gt;$I479))&gt;0,"AMBIGUOUS — MAPS TO MULTIPLE TEAMS",IF(COUNTIF($H$6:$H$481,$H479)&gt;1,"DUPLICATE x"&amp;COUNTIF($H$6:$H$481,$H479)&amp;" -&gt; "&amp;$I479,"")))</f>
        <v/>
      </c>
    </row>
    <row r="480">
      <c r="J480">
        <f>IF($H480="","",IF(SUMPRODUCT(--(LOWER(TRIM($H$6:$H$481))=LOWER(TRIM($H480))),--($I$6:$I$481&lt;&gt;$I480))&gt;0,"AMBIGUOUS — MAPS TO MULTIPLE TEAMS",IF(COUNTIF($H$6:$H$481,$H480)&gt;1,"DUPLICATE x"&amp;COUNTIF($H$6:$H$481,$H480)&amp;" -&gt; "&amp;$I480,"")))</f>
        <v/>
      </c>
    </row>
    <row r="481">
      <c r="J481">
        <f>IF($H481="","",IF(SUMPRODUCT(--(LOWER(TRIM($H$6:$H$481))=LOWER(TRIM($H481))),--($I$6:$I$481&lt;&gt;$I481))&gt;0,"AMBIGUOUS — MAPS TO MULTIPLE TEAMS",IF(COUNTIF($H$6:$H$481,$H481)&gt;1,"DUPLICATE x"&amp;COUNTIF($H$6:$H$481,$H481)&amp;" -&gt; "&amp;$I481,"")))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Z1:Z14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Z5" t="inlineStr">
        <is>
          <t>FINAL PRIOR (pts vs avg)</t>
        </is>
      </c>
    </row>
    <row r="6"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</row>
    <row r="7"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</row>
    <row r="8"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</row>
    <row r="9"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</row>
    <row r="10"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</row>
    <row r="11"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</row>
    <row r="12"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</row>
    <row r="13"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</row>
    <row r="14"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</row>
    <row r="15"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</row>
    <row r="16"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</row>
    <row r="17"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</row>
    <row r="18"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</row>
    <row r="19"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</row>
    <row r="20"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</row>
    <row r="21"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</row>
    <row r="22"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</row>
    <row r="23"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</row>
    <row r="24"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</row>
    <row r="25"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</row>
    <row r="26"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</row>
    <row r="27"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</row>
    <row r="28"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</row>
    <row r="29"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</row>
    <row r="30"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</row>
    <row r="31"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</row>
    <row r="32"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</row>
    <row r="33"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</row>
    <row r="34"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</row>
    <row r="35"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</row>
    <row r="36"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</row>
    <row r="37"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</row>
    <row r="38"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</row>
    <row r="39"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</row>
    <row r="40"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</row>
    <row r="41"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</row>
    <row r="42"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</row>
    <row r="43"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</row>
    <row r="44"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</row>
    <row r="45"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</row>
    <row r="46"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</row>
    <row r="47"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</row>
    <row r="48"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</row>
    <row r="49"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</row>
    <row r="50"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</row>
    <row r="51"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</row>
    <row r="52"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</row>
    <row r="53"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</row>
    <row r="54"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</row>
    <row r="55"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</row>
    <row r="56"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</row>
    <row r="57"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</row>
    <row r="58"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</row>
    <row r="59"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</row>
    <row r="60"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</row>
    <row r="61"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</row>
    <row r="62"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</row>
    <row r="63"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</row>
    <row r="64"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</row>
    <row r="65"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</row>
    <row r="66"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</row>
    <row r="67"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</row>
    <row r="68"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</row>
    <row r="69"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</row>
    <row r="70"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</row>
    <row r="71"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</row>
    <row r="72"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</row>
    <row r="73"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</row>
    <row r="74"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</row>
    <row r="75"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</row>
    <row r="76"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</row>
    <row r="77"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</row>
    <row r="78"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</row>
    <row r="79"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</row>
    <row r="80"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</row>
    <row r="81"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</row>
    <row r="82"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</row>
    <row r="83"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</row>
    <row r="84"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</row>
    <row r="85"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</row>
    <row r="86"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</row>
    <row r="87"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</row>
    <row r="88"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</row>
    <row r="89"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</row>
    <row r="90"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</row>
    <row r="91"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</row>
    <row r="92"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</row>
    <row r="93"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</row>
    <row r="94"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</row>
    <row r="95"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</row>
    <row r="96"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</row>
    <row r="97"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</row>
    <row r="98"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</row>
    <row r="99"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</row>
    <row r="100"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</row>
    <row r="101"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</row>
    <row r="102"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</row>
    <row r="103"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</row>
    <row r="104"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</row>
    <row r="105"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</row>
    <row r="106"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</row>
    <row r="107"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</row>
    <row r="108"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</row>
    <row r="109"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</row>
    <row r="110"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</row>
    <row r="111"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</row>
    <row r="112"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</row>
    <row r="113"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</row>
    <row r="114"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</row>
    <row r="115"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</row>
    <row r="116"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</row>
    <row r="117"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</row>
    <row r="118"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</row>
    <row r="119"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</row>
    <row r="120"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</row>
    <row r="121"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</row>
    <row r="122"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</row>
    <row r="123"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</row>
    <row r="124"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</row>
    <row r="125"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</row>
    <row r="126"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</row>
    <row r="127"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</row>
    <row r="128"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</row>
    <row r="129"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</row>
    <row r="130"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</row>
    <row r="131"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</row>
    <row r="132"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</row>
    <row r="133"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</row>
    <row r="134"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</row>
    <row r="135"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</row>
    <row r="136"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</row>
    <row r="137"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</row>
    <row r="138"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</row>
    <row r="139"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</row>
    <row r="140"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</row>
    <row r="141"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</row>
    <row r="142"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</row>
    <row r="143"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sheetData>
    <row r="1"/>
    <row r="2"/>
    <row r="3">
      <c r="B3" t="n">
        <v>2026</v>
      </c>
    </row>
    <row r="4"/>
    <row r="5"/>
    <row r="6">
      <c r="B6" t="n">
        <v>2.5</v>
      </c>
    </row>
    <row r="7">
      <c r="B7" t="n">
        <v>0</v>
      </c>
    </row>
    <row r="8">
      <c r="B8" t="n">
        <v>1</v>
      </c>
    </row>
    <row r="9">
      <c r="B9" t="n">
        <v>1.5</v>
      </c>
    </row>
    <row r="10">
      <c r="B10" t="n">
        <v>3</v>
      </c>
    </row>
    <row r="11">
      <c r="B11" t="inlineStr">
        <is>
          <t>N</t>
        </is>
      </c>
    </row>
    <row r="12">
      <c r="B12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LINES — from your OddsLogic / Circa screenshots ONLY</t>
        </is>
      </c>
    </row>
    <row r="2">
      <c r="A2" t="inlineStr">
        <is>
          <t>SIGN CONVENTION: enter Favorite (canonical abbrev, e.g. UGA) + POSITIVE spread. Georgia -7.5 -&gt; Favorite=UGA, Spread=7.5. Never enter -7.5. Bare 'Miami' rejects — use MIA or M-OH. FCS favorites: type the name exactly as shown in the matchup. No line is ever guessed from a public website.</t>
        </is>
      </c>
    </row>
    <row r="3"/>
    <row r="4"/>
    <row r="5">
      <c r="A5" t="inlineStr">
        <is>
          <t>GameID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6:B18"/>
  <sheetViews>
    <sheetView workbookViewId="0">
      <selection activeCell="A1" sqref="A1"/>
    </sheetView>
  </sheetViews>
  <sheetFormatPr baseColWidth="8" defaultRowHeight="15"/>
  <sheetData>
    <row r="6">
      <c r="B6">
        <f>IF(COUNTIF('TEAM MAP'!$A$6:$A$143,"?*")=138,"OK","FAIL")</f>
        <v/>
      </c>
    </row>
    <row r="7">
      <c r="B7">
        <f t="array" ref="B7">IF(SUMPRODUCT(--(COUNTIF('TEAM MAP'!$A$6:$A$143,'TEAM MAP'!$A$6:$A$143)&gt;1))=0,"OK","FAIL")</f>
        <v/>
      </c>
    </row>
    <row r="8">
      <c r="B8">
        <f t="array" ref="B8">IF(SUMPRODUCT(--('TEAM MAP'!$H$6:$H$481&lt;&gt;""),--(COUNTIF('TEAM MAP'!$H$6:$H$481,'TEAM MAP'!$H$6:$H$481)&gt;1))=0,"OK","FAIL")</f>
        <v/>
      </c>
    </row>
    <row r="9">
      <c r="B9">
        <f>IF(COUNT(PRESEASON!$Z$6:$Z$143)=0,"N/A — no ratings loaded (Phase 4)",TEXT(AVERAGE(PRESEASON!$Z$6:$Z$143),"0.00"))</f>
        <v/>
      </c>
    </row>
    <row r="12">
      <c r="B12">
        <f>IF(SETTINGS!$B$11="N","OK (OFF)","CHECK — toggle is "&amp;SETTINGS!$B$11)</f>
        <v/>
      </c>
    </row>
    <row r="13">
      <c r="B13">
        <f>IF(AND(SETTINGS!$B$8=1,SETTINGS!$B$9=1.5,SETTINGS!$B$10=3),"OK","CHANGED — log in CHANGELOG")</f>
        <v/>
      </c>
    </row>
    <row r="14">
      <c r="B14">
        <f>IF(AND(SETTINGS!$B$6=2.5,SETTINGS!$B$7=0),"OK","CHANGED — log in CHANGELOG")</f>
        <v/>
      </c>
    </row>
    <row r="15">
      <c r="B15">
        <f>IF(SETTINGS!$B$12=2.5,"OK","CHANGED — log in CHANGELOG")</f>
        <v/>
      </c>
    </row>
    <row r="16">
      <c r="B16">
        <f>IF(COUNTIF('MARKET LINES'!$A$6:$A$1005,"?*")+COUNT('MARKET LINES'!$A$6:$A$1005)=0,"OK — clean","REMOVE TEST LINES")</f>
        <v/>
      </c>
    </row>
    <row r="17">
      <c r="B17">
        <f>IF(COUNTIF('TEAM MAP'!$J$6:$J$481,"AMBIGUOUS — MAPS TO MULTIPLE TEAMS")=0,"OK","FAIL — move alias to blocked list")</f>
        <v/>
      </c>
    </row>
    <row r="18">
      <c r="B18">
        <f t="array" ref="B18">IF(SUMPRODUCT(--('TEAM MAP'!$K$6:$K$481&lt;&gt;""),--(COUNTIF('TEAM MAP'!$K$6:$K$481,'TEAM MAP'!$K$6:$K$481)&gt;1))=0,"OK","FAIL")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2026-07-21T12:38:52Z</dcterms:created>
  <dcterms:modified xsi:type="dcterms:W3CDTF">2026-07-21T12:38:52Z</dcterms:modified>
</cp:coreProperties>
</file>