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C97" t="inlineStr">
        <is>
          <t>TEST ONLY — NOT REAL DATA: Test Baseline QB</t>
        </is>
      </c>
      <c r="D97" t="n">
        <v>0</v>
      </c>
      <c r="E97" t="inlineStr">
        <is>
          <t>TEST ONLY — NOT REAL DATA: Test Active QB</t>
        </is>
      </c>
      <c r="F97" t="n">
        <v>0</v>
      </c>
      <c r="G97">
        <f>IF(OR($D97="",$F97=""),"",$F97-$D97)</f>
        <v/>
      </c>
      <c r="H97" t="inlineStr">
        <is>
          <t>M</t>
        </is>
      </c>
      <c r="I97" t="inlineStr">
        <is>
          <t>TEST ONLY — NOT REAL DATA</t>
        </is>
      </c>
      <c r="J97" t="n">
        <v>2026</v>
      </c>
      <c r="K97" s="2" t="n">
        <v>46266</v>
      </c>
      <c r="L97" t="inlineStr">
        <is>
          <t>TEST ONLY — NOT REAL DATA: temporarily resolved for NDSU functional test</t>
        </is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C122" t="inlineStr">
        <is>
          <t>TEST ONLY — NOT REAL DATA: Test Baseline QB</t>
        </is>
      </c>
      <c r="D122" t="n">
        <v>0</v>
      </c>
      <c r="E122" t="inlineStr">
        <is>
          <t>TEST ONLY — NOT REAL DATA: Test Active QB</t>
        </is>
      </c>
      <c r="F122" t="n">
        <v>0</v>
      </c>
      <c r="G122">
        <f>IF(OR($D122="",$F122=""),"",$F122-$D122)</f>
        <v/>
      </c>
      <c r="H122" t="inlineStr">
        <is>
          <t>M</t>
        </is>
      </c>
      <c r="I122" t="inlineStr">
        <is>
          <t>TEST ONLY — NOT REAL DATA</t>
        </is>
      </c>
      <c r="J122" t="n">
        <v>2026</v>
      </c>
      <c r="K122" s="2" t="n">
        <v>46266</v>
      </c>
      <c r="L122" t="inlineStr">
        <is>
          <t>TEST ONLY — NOT REAL DATA: temporarily resolved for NDSU functional test</t>
        </is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24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  <row r="20">
      <c r="A20" t="inlineStr">
        <is>
          <t>900000000</t>
        </is>
      </c>
      <c r="B20" t="n">
        <v>2026</v>
      </c>
      <c r="C20" t="n">
        <v>1</v>
      </c>
      <c r="D20" s="1" t="n">
        <v>46270</v>
      </c>
      <c r="E20" t="b">
        <v>0</v>
      </c>
      <c r="F20" t="inlineStr">
        <is>
          <t>North Dakota State Bison</t>
        </is>
      </c>
      <c r="G20" t="inlineStr">
        <is>
          <t>Mountain West</t>
        </is>
      </c>
      <c r="H20" t="inlineStr">
        <is>
          <t>Air Force Falcons</t>
        </is>
      </c>
      <c r="I20" t="inlineStr">
        <is>
          <t>American Conference</t>
        </is>
      </c>
      <c r="J20" t="n">
        <v>17</v>
      </c>
      <c r="K20" t="n">
        <v>24</v>
      </c>
      <c r="L20" t="b">
        <v>1</v>
      </c>
      <c r="M20" t="inlineStr">
        <is>
          <t>Memorial Stadium</t>
        </is>
      </c>
      <c r="N20" t="inlineStr">
        <is>
          <t>TEST ONLY — NOT REAL DATA: synthetic completed game for NDSU games-played test</t>
        </is>
      </c>
    </row>
    <row r="21">
      <c r="A21" t="inlineStr">
        <is>
          <t>900000001</t>
        </is>
      </c>
      <c r="B21" t="n">
        <v>2026</v>
      </c>
      <c r="C21" t="n">
        <v>2</v>
      </c>
      <c r="D21" s="1" t="n">
        <v>46271</v>
      </c>
      <c r="E21" t="b">
        <v>0</v>
      </c>
      <c r="F21" t="inlineStr">
        <is>
          <t>North Dakota State Bison</t>
        </is>
      </c>
      <c r="G21" t="inlineStr">
        <is>
          <t>Mountain West</t>
        </is>
      </c>
      <c r="H21" t="inlineStr">
        <is>
          <t>UNLV Rebels</t>
        </is>
      </c>
      <c r="I21" t="inlineStr">
        <is>
          <t>Mountain West Conference</t>
        </is>
      </c>
      <c r="J21" t="n">
        <v>17</v>
      </c>
      <c r="K21" t="n">
        <v>24</v>
      </c>
      <c r="L21" t="b">
        <v>1</v>
      </c>
      <c r="M21" t="inlineStr">
        <is>
          <t>Rice-Eccles Stadium</t>
        </is>
      </c>
      <c r="N21" t="inlineStr">
        <is>
          <t>TEST ONLY — NOT REAL DATA: synthetic completed game for NDSU games-played test</t>
        </is>
      </c>
    </row>
    <row r="22">
      <c r="A22" t="inlineStr">
        <is>
          <t>900000002</t>
        </is>
      </c>
      <c r="B22" t="n">
        <v>2026</v>
      </c>
      <c r="C22" t="n">
        <v>3</v>
      </c>
      <c r="D22" s="1" t="n">
        <v>46272</v>
      </c>
      <c r="E22" t="b">
        <v>0</v>
      </c>
      <c r="F22" t="inlineStr">
        <is>
          <t>North Dakota State Bison</t>
        </is>
      </c>
      <c r="G22" t="inlineStr">
        <is>
          <t>Mountain West</t>
        </is>
      </c>
      <c r="H22" t="inlineStr">
        <is>
          <t>New Mexico Lobos</t>
        </is>
      </c>
      <c r="I22" t="inlineStr">
        <is>
          <t>Mountain West Conference</t>
        </is>
      </c>
      <c r="J22" t="n">
        <v>17</v>
      </c>
      <c r="K22" t="n">
        <v>24</v>
      </c>
      <c r="L22" t="b">
        <v>1</v>
      </c>
      <c r="M22" t="inlineStr">
        <is>
          <t>Bobby Dodd Stadium</t>
        </is>
      </c>
      <c r="N22" t="inlineStr">
        <is>
          <t>TEST ONLY — NOT REAL DATA: synthetic completed game for NDSU games-played test</t>
        </is>
      </c>
    </row>
    <row r="23">
      <c r="A23" t="inlineStr">
        <is>
          <t>900000003</t>
        </is>
      </c>
      <c r="B23" t="n">
        <v>2026</v>
      </c>
      <c r="C23" t="n">
        <v>4</v>
      </c>
      <c r="D23" s="1" t="n">
        <v>46273</v>
      </c>
      <c r="E23" t="b">
        <v>0</v>
      </c>
      <c r="F23" t="inlineStr">
        <is>
          <t>North Dakota State Bison</t>
        </is>
      </c>
      <c r="G23" t="inlineStr">
        <is>
          <t>Mountain West</t>
        </is>
      </c>
      <c r="H23" t="inlineStr">
        <is>
          <t>San José State Spartans</t>
        </is>
      </c>
      <c r="I23" t="inlineStr">
        <is>
          <t>Mountain West Conference</t>
        </is>
      </c>
      <c r="J23" t="n">
        <v>17</v>
      </c>
      <c r="K23" t="n">
        <v>24</v>
      </c>
      <c r="L23" t="b">
        <v>1</v>
      </c>
      <c r="M23" t="inlineStr">
        <is>
          <t>Huntington Bank Stadium</t>
        </is>
      </c>
      <c r="N23" t="inlineStr">
        <is>
          <t>TEST ONLY — NOT REAL DATA: synthetic completed game for NDSU games-played test</t>
        </is>
      </c>
    </row>
    <row r="24">
      <c r="A24" t="inlineStr">
        <is>
          <t>900000004</t>
        </is>
      </c>
      <c r="B24" t="n">
        <v>2026</v>
      </c>
      <c r="C24" t="n">
        <v>5</v>
      </c>
      <c r="D24" s="1" t="n">
        <v>46274</v>
      </c>
      <c r="E24" t="b">
        <v>0</v>
      </c>
      <c r="F24" t="inlineStr">
        <is>
          <t>North Dakota State Bison</t>
        </is>
      </c>
      <c r="G24" t="inlineStr">
        <is>
          <t>Mountain West</t>
        </is>
      </c>
      <c r="H24" t="inlineStr">
        <is>
          <t>UTEP Miners</t>
        </is>
      </c>
      <c r="I24" t="inlineStr">
        <is>
          <t>Mountain West Conference</t>
        </is>
      </c>
      <c r="J24" t="n">
        <v>17</v>
      </c>
      <c r="K24" t="n">
        <v>24</v>
      </c>
      <c r="L24" t="b">
        <v>1</v>
      </c>
      <c r="M24" t="inlineStr">
        <is>
          <t>Gies Memorial Stadium</t>
        </is>
      </c>
      <c r="N24" t="inlineStr">
        <is>
          <t>TEST ONLY — NOT REAL DATA: synthetic completed game for NDSU games-played 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24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  <row r="20">
      <c r="A20">
        <f>IF('IMPORT SCHEDULE'!A20="","",'IMPORT SCHEDULE'!A20)</f>
        <v/>
      </c>
      <c r="B20">
        <f>IF($A20="","",'IMPORT SCHEDULE'!B20)</f>
        <v/>
      </c>
      <c r="C20">
        <f>IF($A20="","",'IMPORT SCHEDULE'!C20)</f>
        <v/>
      </c>
      <c r="D20">
        <f>IF($A20="","",'IMPORT SCHEDULE'!D20)</f>
        <v/>
      </c>
      <c r="E20">
        <f>IF($A20="","",IF(OR('IMPORT SCHEDULE'!E20=TRUE(),'IMPORT SCHEDULE'!E20="TRUE",'IMPORT SCHEDULE'!E20="true",'IMPORT SCHEDULE'!E20=1),1,0))</f>
        <v/>
      </c>
      <c r="F20">
        <f>IF($A20="","",'IMPORT SCHEDULE'!F20)</f>
        <v/>
      </c>
      <c r="G20">
        <f>IF($A20="","",'IMPORT SCHEDULE'!G20)</f>
        <v/>
      </c>
      <c r="H20">
        <f>IF($A20="","",'IMPORT SCHEDULE'!H20)</f>
        <v/>
      </c>
      <c r="I20">
        <f>IF($A20="","",'IMPORT SCHEDULE'!I20)</f>
        <v/>
      </c>
      <c r="J20">
        <f>IF($A20="","",IF('IMPORT SCHEDULE'!J20="","",'IMPORT SCHEDULE'!J20))</f>
        <v/>
      </c>
      <c r="K20">
        <f>IF($A20="","",IF('IMPORT SCHEDULE'!K20="","",'IMPORT SCHEDULE'!K20))</f>
        <v/>
      </c>
      <c r="L20">
        <f>IF($A20="","",IF(OR('IMPORT SCHEDULE'!L20=TRUE(),'IMPORT SCHEDULE'!L20="TRUE",'IMPORT SCHEDULE'!L20="true",'IMPORT SCHEDULE'!L20=1,AND(ISNUMBER($J20),ISNUMBER($K20))),1,0))</f>
        <v/>
      </c>
      <c r="M20">
        <f>IF($A20="","",COUNTIF($A$6:$A$1005,$A20))</f>
        <v/>
      </c>
      <c r="N20">
        <f>IF($F20="","",IF(ISNA(MATCH($F20,'TEAM MAP'!$K$6:$K$605,0)),"",INDEX('TEAM MAP'!$L$6:$L$605,MATCH($F20,'TEAM MAP'!$K$6:$K$605,0))))</f>
        <v/>
      </c>
      <c r="O20">
        <f>IF($F20="","",IF($N20&lt;&gt;"","FBS",IF(ISNA(MATCH($G20,'TEAM MAP'!$N$6:$N$40,0)),"FCS","BLOCK")))</f>
        <v/>
      </c>
      <c r="P20">
        <f>IF($H20="","",IF(ISNA(MATCH($H20,'TEAM MAP'!$K$6:$K$605,0)),"",INDEX('TEAM MAP'!$L$6:$L$605,MATCH($H20,'TEAM MAP'!$K$6:$K$605,0))))</f>
        <v/>
      </c>
      <c r="Q20">
        <f>IF($H20="","",IF($P20&lt;&gt;"","FBS",IF(ISNA(MATCH($I20,'TEAM MAP'!$N$6:$N$40,0)),"FCS","BLOCK")))</f>
        <v/>
      </c>
      <c r="R20">
        <f>IF($A20="","",IF($O20="FBS",IF(ISNA(MATCH($N20,PRESEASON!$A$6:$A$143,0)),"",IF(INDEX(PRESEASON!$Z$6:$Z$143,MATCH($N20,PRESEASON!$A$6:$A$143,0))="","",INDEX(PRESEASON!$Z$6:$Z$143,MATCH($N20,PRESEASON!$A$6:$A$143,0)))),IF($O20="FCS",IF(COUNTIF('FCS TIERS'!$J$6:$J$105,$F20)&gt;0,IF(INDEX('FCS TIERS'!$K$6:$K$105,MATCH($F20,'FCS TIERS'!$J$6:$J$105,0))="","",INDEX('FCS TIERS'!$K$6:$K$105,MATCH($F20,'FCS TIERS'!$J$6:$J$105,0))),IF(COUNTIF('FCS TIERS'!$F$6:$F$205,$F20)&gt;0,IF(ISNA(MATCH(INDEX('FCS TIERS'!$G$6:$G$205,MATCH($F20,'FCS TIERS'!$F$6:$F$205,0)),'FCS TIERS'!$A$6:$A$10,0)),"",IF(INDEX('FCS TIERS'!$B$6:$B$10,MATCH(INDEX('FCS TIERS'!$G$6:$G$205,MATCH($F20,'FCS TIERS'!$F$6:$F$205,0)),'FCS TIERS'!$A$6:$A$10,0))="","",INDEX('FCS TIERS'!$B$6:$B$10,MATCH(INDEX('FCS TIERS'!$G$6:$G$205,MATCH($F20,'FCS TIERS'!$F$6:$F$205,0)),'FCS TIERS'!$A$6:$A$10,0)))),"")),"")))</f>
        <v/>
      </c>
      <c r="S20">
        <f>IF($A20="","",IF($Q20="FBS",IF(ISNA(MATCH($P20,PRESEASON!$A$6:$A$143,0)),"",IF(INDEX(PRESEASON!$Z$6:$Z$143,MATCH($P20,PRESEASON!$A$6:$A$143,0))="","",INDEX(PRESEASON!$Z$6:$Z$143,MATCH($P20,PRESEASON!$A$6:$A$143,0)))),IF($Q20="FCS",IF(COUNTIF('FCS TIERS'!$J$6:$J$105,$H20)&gt;0,IF(INDEX('FCS TIERS'!$K$6:$K$105,MATCH($H20,'FCS TIERS'!$J$6:$J$105,0))="","",INDEX('FCS TIERS'!$K$6:$K$105,MATCH($H20,'FCS TIERS'!$J$6:$J$105,0))),IF(COUNTIF('FCS TIERS'!$F$6:$F$205,$H20)&gt;0,IF(ISNA(MATCH(INDEX('FCS TIERS'!$G$6:$G$205,MATCH($H20,'FCS TIERS'!$F$6:$F$205,0)),'FCS TIERS'!$A$6:$A$10,0)),"",IF(INDEX('FCS TIERS'!$B$6:$B$10,MATCH(INDEX('FCS TIERS'!$G$6:$G$205,MATCH($H20,'FCS TIERS'!$F$6:$F$205,0)),'FCS TIERS'!$A$6:$A$10,0))="","",INDEX('FCS TIERS'!$B$6:$B$10,MATCH(INDEX('FCS TIERS'!$G$6:$G$205,MATCH($H20,'FCS TIERS'!$F$6:$F$205,0)),'FCS TIERS'!$A$6:$A$10,0)))),"")),"")))</f>
        <v/>
      </c>
      <c r="T20">
        <f>IF(OR($A20="",$L20&lt;&gt;1,NOT(ISNUMBER($J20)),NOT(ISNUMBER($K20))),"",$K20-$J20)</f>
        <v/>
      </c>
      <c r="U20">
        <f>IF(OR($T20="",NOT(ISNUMBER($R20))),"",MAX(-SETTINGS!$B$14,MIN(SETTINGS!$B$14,$T20-IF($E20=1,0,SETTINGS!$B$6)))-$R20)</f>
        <v/>
      </c>
      <c r="V20">
        <f>IF(OR($T20="",NOT(ISNUMBER($S20))),"",MAX(-SETTINGS!$B$14,MIN(SETTINGS!$B$14,-$T20+IF($E20=1,0,SETTINGS!$B$6)))-$S20)</f>
        <v/>
      </c>
      <c r="W20">
        <f>IF($A20="","",IF(OR(SETTINGS!$B$4="",NOT(ISNUMBER($C20))),1,SETTINGS!$B$20^MAX(0,SETTINGS!$B$4-$C20)))</f>
        <v/>
      </c>
      <c r="X20">
        <f>IF(OR($A20="",NOT(ISNUMBER($U20))),0,$U20*$W20)</f>
        <v/>
      </c>
      <c r="Y20">
        <f>IF(OR($A20="",NOT(ISNUMBER($U20))),0,$W20)</f>
        <v/>
      </c>
      <c r="Z20">
        <f>IF(OR($A20="",NOT(ISNUMBER($V20))),0,$V20*$W20)</f>
        <v/>
      </c>
      <c r="AA20">
        <f>IF(OR($A20="",NOT(ISNUMBER($V20))),0,$W20)</f>
        <v/>
      </c>
      <c r="AB20">
        <f>IF($A20="",0,$L20*IF($O20="FBS",1,0))</f>
        <v/>
      </c>
      <c r="AC20">
        <f>IF($A20="",0,$L20*IF($Q20="FBS",1,0))</f>
        <v/>
      </c>
      <c r="AD20">
        <f>IF($A20="",0,$L20*IF($O20="FBS",1,0))</f>
        <v/>
      </c>
      <c r="AE20">
        <f>IF($A20="",0,$L20*IF($Q20="FBS",1,0))</f>
        <v/>
      </c>
      <c r="AF20">
        <f>IF($A20="","",IF($N20&lt;&gt;"",$N20,$F20))</f>
        <v/>
      </c>
      <c r="AG20">
        <f>IF($A20="","",IF($P20&lt;&gt;"",$P20,$H20))</f>
        <v/>
      </c>
    </row>
    <row r="21">
      <c r="A21">
        <f>IF('IMPORT SCHEDULE'!A21="","",'IMPORT SCHEDULE'!A21)</f>
        <v/>
      </c>
      <c r="B21">
        <f>IF($A21="","",'IMPORT SCHEDULE'!B21)</f>
        <v/>
      </c>
      <c r="C21">
        <f>IF($A21="","",'IMPORT SCHEDULE'!C21)</f>
        <v/>
      </c>
      <c r="D21">
        <f>IF($A21="","",'IMPORT SCHEDULE'!D21)</f>
        <v/>
      </c>
      <c r="E21">
        <f>IF($A21="","",IF(OR('IMPORT SCHEDULE'!E21=TRUE(),'IMPORT SCHEDULE'!E21="TRUE",'IMPORT SCHEDULE'!E21="true",'IMPORT SCHEDULE'!E21=1),1,0))</f>
        <v/>
      </c>
      <c r="F21">
        <f>IF($A21="","",'IMPORT SCHEDULE'!F21)</f>
        <v/>
      </c>
      <c r="G21">
        <f>IF($A21="","",'IMPORT SCHEDULE'!G21)</f>
        <v/>
      </c>
      <c r="H21">
        <f>IF($A21="","",'IMPORT SCHEDULE'!H21)</f>
        <v/>
      </c>
      <c r="I21">
        <f>IF($A21="","",'IMPORT SCHEDULE'!I21)</f>
        <v/>
      </c>
      <c r="J21">
        <f>IF($A21="","",IF('IMPORT SCHEDULE'!J21="","",'IMPORT SCHEDULE'!J21))</f>
        <v/>
      </c>
      <c r="K21">
        <f>IF($A21="","",IF('IMPORT SCHEDULE'!K21="","",'IMPORT SCHEDULE'!K21))</f>
        <v/>
      </c>
      <c r="L21">
        <f>IF($A21="","",IF(OR('IMPORT SCHEDULE'!L21=TRUE(),'IMPORT SCHEDULE'!L21="TRUE",'IMPORT SCHEDULE'!L21="true",'IMPORT SCHEDULE'!L21=1,AND(ISNUMBER($J21),ISNUMBER($K21))),1,0))</f>
        <v/>
      </c>
      <c r="M21">
        <f>IF($A21="","",COUNTIF($A$6:$A$1005,$A21))</f>
        <v/>
      </c>
      <c r="N21">
        <f>IF($F21="","",IF(ISNA(MATCH($F21,'TEAM MAP'!$K$6:$K$605,0)),"",INDEX('TEAM MAP'!$L$6:$L$605,MATCH($F21,'TEAM MAP'!$K$6:$K$605,0))))</f>
        <v/>
      </c>
      <c r="O21">
        <f>IF($F21="","",IF($N21&lt;&gt;"","FBS",IF(ISNA(MATCH($G21,'TEAM MAP'!$N$6:$N$40,0)),"FCS","BLOCK")))</f>
        <v/>
      </c>
      <c r="P21">
        <f>IF($H21="","",IF(ISNA(MATCH($H21,'TEAM MAP'!$K$6:$K$605,0)),"",INDEX('TEAM MAP'!$L$6:$L$605,MATCH($H21,'TEAM MAP'!$K$6:$K$605,0))))</f>
        <v/>
      </c>
      <c r="Q21">
        <f>IF($H21="","",IF($P21&lt;&gt;"","FBS",IF(ISNA(MATCH($I21,'TEAM MAP'!$N$6:$N$40,0)),"FCS","BLOCK")))</f>
        <v/>
      </c>
      <c r="R21">
        <f>IF($A21="","",IF($O21="FBS",IF(ISNA(MATCH($N21,PRESEASON!$A$6:$A$143,0)),"",IF(INDEX(PRESEASON!$Z$6:$Z$143,MATCH($N21,PRESEASON!$A$6:$A$143,0))="","",INDEX(PRESEASON!$Z$6:$Z$143,MATCH($N21,PRESEASON!$A$6:$A$143,0)))),IF($O21="FCS",IF(COUNTIF('FCS TIERS'!$J$6:$J$105,$F21)&gt;0,IF(INDEX('FCS TIERS'!$K$6:$K$105,MATCH($F21,'FCS TIERS'!$J$6:$J$105,0))="","",INDEX('FCS TIERS'!$K$6:$K$105,MATCH($F21,'FCS TIERS'!$J$6:$J$105,0))),IF(COUNTIF('FCS TIERS'!$F$6:$F$205,$F21)&gt;0,IF(ISNA(MATCH(INDEX('FCS TIERS'!$G$6:$G$205,MATCH($F21,'FCS TIERS'!$F$6:$F$205,0)),'FCS TIERS'!$A$6:$A$10,0)),"",IF(INDEX('FCS TIERS'!$B$6:$B$10,MATCH(INDEX('FCS TIERS'!$G$6:$G$205,MATCH($F21,'FCS TIERS'!$F$6:$F$205,0)),'FCS TIERS'!$A$6:$A$10,0))="","",INDEX('FCS TIERS'!$B$6:$B$10,MATCH(INDEX('FCS TIERS'!$G$6:$G$205,MATCH($F21,'FCS TIERS'!$F$6:$F$205,0)),'FCS TIERS'!$A$6:$A$10,0)))),"")),"")))</f>
        <v/>
      </c>
      <c r="S21">
        <f>IF($A21="","",IF($Q21="FBS",IF(ISNA(MATCH($P21,PRESEASON!$A$6:$A$143,0)),"",IF(INDEX(PRESEASON!$Z$6:$Z$143,MATCH($P21,PRESEASON!$A$6:$A$143,0))="","",INDEX(PRESEASON!$Z$6:$Z$143,MATCH($P21,PRESEASON!$A$6:$A$143,0)))),IF($Q21="FCS",IF(COUNTIF('FCS TIERS'!$J$6:$J$105,$H21)&gt;0,IF(INDEX('FCS TIERS'!$K$6:$K$105,MATCH($H21,'FCS TIERS'!$J$6:$J$105,0))="","",INDEX('FCS TIERS'!$K$6:$K$105,MATCH($H21,'FCS TIERS'!$J$6:$J$105,0))),IF(COUNTIF('FCS TIERS'!$F$6:$F$205,$H21)&gt;0,IF(ISNA(MATCH(INDEX('FCS TIERS'!$G$6:$G$205,MATCH($H21,'FCS TIERS'!$F$6:$F$205,0)),'FCS TIERS'!$A$6:$A$10,0)),"",IF(INDEX('FCS TIERS'!$B$6:$B$10,MATCH(INDEX('FCS TIERS'!$G$6:$G$205,MATCH($H21,'FCS TIERS'!$F$6:$F$205,0)),'FCS TIERS'!$A$6:$A$10,0))="","",INDEX('FCS TIERS'!$B$6:$B$10,MATCH(INDEX('FCS TIERS'!$G$6:$G$205,MATCH($H21,'FCS TIERS'!$F$6:$F$205,0)),'FCS TIERS'!$A$6:$A$10,0)))),"")),"")))</f>
        <v/>
      </c>
      <c r="T21">
        <f>IF(OR($A21="",$L21&lt;&gt;1,NOT(ISNUMBER($J21)),NOT(ISNUMBER($K21))),"",$K21-$J21)</f>
        <v/>
      </c>
      <c r="U21">
        <f>IF(OR($T21="",NOT(ISNUMBER($R21))),"",MAX(-SETTINGS!$B$14,MIN(SETTINGS!$B$14,$T21-IF($E21=1,0,SETTINGS!$B$6)))-$R21)</f>
        <v/>
      </c>
      <c r="V21">
        <f>IF(OR($T21="",NOT(ISNUMBER($S21))),"",MAX(-SETTINGS!$B$14,MIN(SETTINGS!$B$14,-$T21+IF($E21=1,0,SETTINGS!$B$6)))-$S21)</f>
        <v/>
      </c>
      <c r="W21">
        <f>IF($A21="","",IF(OR(SETTINGS!$B$4="",NOT(ISNUMBER($C21))),1,SETTINGS!$B$20^MAX(0,SETTINGS!$B$4-$C21)))</f>
        <v/>
      </c>
      <c r="X21">
        <f>IF(OR($A21="",NOT(ISNUMBER($U21))),0,$U21*$W21)</f>
        <v/>
      </c>
      <c r="Y21">
        <f>IF(OR($A21="",NOT(ISNUMBER($U21))),0,$W21)</f>
        <v/>
      </c>
      <c r="Z21">
        <f>IF(OR($A21="",NOT(ISNUMBER($V21))),0,$V21*$W21)</f>
        <v/>
      </c>
      <c r="AA21">
        <f>IF(OR($A21="",NOT(ISNUMBER($V21))),0,$W21)</f>
        <v/>
      </c>
      <c r="AB21">
        <f>IF($A21="",0,$L21*IF($O21="FBS",1,0))</f>
        <v/>
      </c>
      <c r="AC21">
        <f>IF($A21="",0,$L21*IF($Q21="FBS",1,0))</f>
        <v/>
      </c>
      <c r="AD21">
        <f>IF($A21="",0,$L21*IF($O21="FBS",1,0))</f>
        <v/>
      </c>
      <c r="AE21">
        <f>IF($A21="",0,$L21*IF($Q21="FBS",1,0))</f>
        <v/>
      </c>
      <c r="AF21">
        <f>IF($A21="","",IF($N21&lt;&gt;"",$N21,$F21))</f>
        <v/>
      </c>
      <c r="AG21">
        <f>IF($A21="","",IF($P21&lt;&gt;"",$P21,$H21))</f>
        <v/>
      </c>
    </row>
    <row r="22">
      <c r="A22">
        <f>IF('IMPORT SCHEDULE'!A22="","",'IMPORT SCHEDULE'!A22)</f>
        <v/>
      </c>
      <c r="B22">
        <f>IF($A22="","",'IMPORT SCHEDULE'!B22)</f>
        <v/>
      </c>
      <c r="C22">
        <f>IF($A22="","",'IMPORT SCHEDULE'!C22)</f>
        <v/>
      </c>
      <c r="D22">
        <f>IF($A22="","",'IMPORT SCHEDULE'!D22)</f>
        <v/>
      </c>
      <c r="E22">
        <f>IF($A22="","",IF(OR('IMPORT SCHEDULE'!E22=TRUE(),'IMPORT SCHEDULE'!E22="TRUE",'IMPORT SCHEDULE'!E22="true",'IMPORT SCHEDULE'!E22=1),1,0))</f>
        <v/>
      </c>
      <c r="F22">
        <f>IF($A22="","",'IMPORT SCHEDULE'!F22)</f>
        <v/>
      </c>
      <c r="G22">
        <f>IF($A22="","",'IMPORT SCHEDULE'!G22)</f>
        <v/>
      </c>
      <c r="H22">
        <f>IF($A22="","",'IMPORT SCHEDULE'!H22)</f>
        <v/>
      </c>
      <c r="I22">
        <f>IF($A22="","",'IMPORT SCHEDULE'!I22)</f>
        <v/>
      </c>
      <c r="J22">
        <f>IF($A22="","",IF('IMPORT SCHEDULE'!J22="","",'IMPORT SCHEDULE'!J22))</f>
        <v/>
      </c>
      <c r="K22">
        <f>IF($A22="","",IF('IMPORT SCHEDULE'!K22="","",'IMPORT SCHEDULE'!K22))</f>
        <v/>
      </c>
      <c r="L22">
        <f>IF($A22="","",IF(OR('IMPORT SCHEDULE'!L22=TRUE(),'IMPORT SCHEDULE'!L22="TRUE",'IMPORT SCHEDULE'!L22="true",'IMPORT SCHEDULE'!L22=1,AND(ISNUMBER($J22),ISNUMBER($K22))),1,0))</f>
        <v/>
      </c>
      <c r="M22">
        <f>IF($A22="","",COUNTIF($A$6:$A$1005,$A22))</f>
        <v/>
      </c>
      <c r="N22">
        <f>IF($F22="","",IF(ISNA(MATCH($F22,'TEAM MAP'!$K$6:$K$605,0)),"",INDEX('TEAM MAP'!$L$6:$L$605,MATCH($F22,'TEAM MAP'!$K$6:$K$605,0))))</f>
        <v/>
      </c>
      <c r="O22">
        <f>IF($F22="","",IF($N22&lt;&gt;"","FBS",IF(ISNA(MATCH($G22,'TEAM MAP'!$N$6:$N$40,0)),"FCS","BLOCK")))</f>
        <v/>
      </c>
      <c r="P22">
        <f>IF($H22="","",IF(ISNA(MATCH($H22,'TEAM MAP'!$K$6:$K$605,0)),"",INDEX('TEAM MAP'!$L$6:$L$605,MATCH($H22,'TEAM MAP'!$K$6:$K$605,0))))</f>
        <v/>
      </c>
      <c r="Q22">
        <f>IF($H22="","",IF($P22&lt;&gt;"","FBS",IF(ISNA(MATCH($I22,'TEAM MAP'!$N$6:$N$40,0)),"FCS","BLOCK")))</f>
        <v/>
      </c>
      <c r="R22">
        <f>IF($A22="","",IF($O22="FBS",IF(ISNA(MATCH($N22,PRESEASON!$A$6:$A$143,0)),"",IF(INDEX(PRESEASON!$Z$6:$Z$143,MATCH($N22,PRESEASON!$A$6:$A$143,0))="","",INDEX(PRESEASON!$Z$6:$Z$143,MATCH($N22,PRESEASON!$A$6:$A$143,0)))),IF($O22="FCS",IF(COUNTIF('FCS TIERS'!$J$6:$J$105,$F22)&gt;0,IF(INDEX('FCS TIERS'!$K$6:$K$105,MATCH($F22,'FCS TIERS'!$J$6:$J$105,0))="","",INDEX('FCS TIERS'!$K$6:$K$105,MATCH($F22,'FCS TIERS'!$J$6:$J$105,0))),IF(COUNTIF('FCS TIERS'!$F$6:$F$205,$F22)&gt;0,IF(ISNA(MATCH(INDEX('FCS TIERS'!$G$6:$G$205,MATCH($F22,'FCS TIERS'!$F$6:$F$205,0)),'FCS TIERS'!$A$6:$A$10,0)),"",IF(INDEX('FCS TIERS'!$B$6:$B$10,MATCH(INDEX('FCS TIERS'!$G$6:$G$205,MATCH($F22,'FCS TIERS'!$F$6:$F$205,0)),'FCS TIERS'!$A$6:$A$10,0))="","",INDEX('FCS TIERS'!$B$6:$B$10,MATCH(INDEX('FCS TIERS'!$G$6:$G$205,MATCH($F22,'FCS TIERS'!$F$6:$F$205,0)),'FCS TIERS'!$A$6:$A$10,0)))),"")),"")))</f>
        <v/>
      </c>
      <c r="S22">
        <f>IF($A22="","",IF($Q22="FBS",IF(ISNA(MATCH($P22,PRESEASON!$A$6:$A$143,0)),"",IF(INDEX(PRESEASON!$Z$6:$Z$143,MATCH($P22,PRESEASON!$A$6:$A$143,0))="","",INDEX(PRESEASON!$Z$6:$Z$143,MATCH($P22,PRESEASON!$A$6:$A$143,0)))),IF($Q22="FCS",IF(COUNTIF('FCS TIERS'!$J$6:$J$105,$H22)&gt;0,IF(INDEX('FCS TIERS'!$K$6:$K$105,MATCH($H22,'FCS TIERS'!$J$6:$J$105,0))="","",INDEX('FCS TIERS'!$K$6:$K$105,MATCH($H22,'FCS TIERS'!$J$6:$J$105,0))),IF(COUNTIF('FCS TIERS'!$F$6:$F$205,$H22)&gt;0,IF(ISNA(MATCH(INDEX('FCS TIERS'!$G$6:$G$205,MATCH($H22,'FCS TIERS'!$F$6:$F$205,0)),'FCS TIERS'!$A$6:$A$10,0)),"",IF(INDEX('FCS TIERS'!$B$6:$B$10,MATCH(INDEX('FCS TIERS'!$G$6:$G$205,MATCH($H22,'FCS TIERS'!$F$6:$F$205,0)),'FCS TIERS'!$A$6:$A$10,0))="","",INDEX('FCS TIERS'!$B$6:$B$10,MATCH(INDEX('FCS TIERS'!$G$6:$G$205,MATCH($H22,'FCS TIERS'!$F$6:$F$205,0)),'FCS TIERS'!$A$6:$A$10,0)))),"")),"")))</f>
        <v/>
      </c>
      <c r="T22">
        <f>IF(OR($A22="",$L22&lt;&gt;1,NOT(ISNUMBER($J22)),NOT(ISNUMBER($K22))),"",$K22-$J22)</f>
        <v/>
      </c>
      <c r="U22">
        <f>IF(OR($T22="",NOT(ISNUMBER($R22))),"",MAX(-SETTINGS!$B$14,MIN(SETTINGS!$B$14,$T22-IF($E22=1,0,SETTINGS!$B$6)))-$R22)</f>
        <v/>
      </c>
      <c r="V22">
        <f>IF(OR($T22="",NOT(ISNUMBER($S22))),"",MAX(-SETTINGS!$B$14,MIN(SETTINGS!$B$14,-$T22+IF($E22=1,0,SETTINGS!$B$6)))-$S22)</f>
        <v/>
      </c>
      <c r="W22">
        <f>IF($A22="","",IF(OR(SETTINGS!$B$4="",NOT(ISNUMBER($C22))),1,SETTINGS!$B$20^MAX(0,SETTINGS!$B$4-$C22)))</f>
        <v/>
      </c>
      <c r="X22">
        <f>IF(OR($A22="",NOT(ISNUMBER($U22))),0,$U22*$W22)</f>
        <v/>
      </c>
      <c r="Y22">
        <f>IF(OR($A22="",NOT(ISNUMBER($U22))),0,$W22)</f>
        <v/>
      </c>
      <c r="Z22">
        <f>IF(OR($A22="",NOT(ISNUMBER($V22))),0,$V22*$W22)</f>
        <v/>
      </c>
      <c r="AA22">
        <f>IF(OR($A22="",NOT(ISNUMBER($V22))),0,$W22)</f>
        <v/>
      </c>
      <c r="AB22">
        <f>IF($A22="",0,$L22*IF($O22="FBS",1,0))</f>
        <v/>
      </c>
      <c r="AC22">
        <f>IF($A22="",0,$L22*IF($Q22="FBS",1,0))</f>
        <v/>
      </c>
      <c r="AD22">
        <f>IF($A22="",0,$L22*IF($O22="FBS",1,0))</f>
        <v/>
      </c>
      <c r="AE22">
        <f>IF($A22="",0,$L22*IF($Q22="FBS",1,0))</f>
        <v/>
      </c>
      <c r="AF22">
        <f>IF($A22="","",IF($N22&lt;&gt;"",$N22,$F22))</f>
        <v/>
      </c>
      <c r="AG22">
        <f>IF($A22="","",IF($P22&lt;&gt;"",$P22,$H22))</f>
        <v/>
      </c>
    </row>
    <row r="23">
      <c r="A23">
        <f>IF('IMPORT SCHEDULE'!A23="","",'IMPORT SCHEDULE'!A23)</f>
        <v/>
      </c>
      <c r="B23">
        <f>IF($A23="","",'IMPORT SCHEDULE'!B23)</f>
        <v/>
      </c>
      <c r="C23">
        <f>IF($A23="","",'IMPORT SCHEDULE'!C23)</f>
        <v/>
      </c>
      <c r="D23">
        <f>IF($A23="","",'IMPORT SCHEDULE'!D23)</f>
        <v/>
      </c>
      <c r="E23">
        <f>IF($A23="","",IF(OR('IMPORT SCHEDULE'!E23=TRUE(),'IMPORT SCHEDULE'!E23="TRUE",'IMPORT SCHEDULE'!E23="true",'IMPORT SCHEDULE'!E23=1),1,0))</f>
        <v/>
      </c>
      <c r="F23">
        <f>IF($A23="","",'IMPORT SCHEDULE'!F23)</f>
        <v/>
      </c>
      <c r="G23">
        <f>IF($A23="","",'IMPORT SCHEDULE'!G23)</f>
        <v/>
      </c>
      <c r="H23">
        <f>IF($A23="","",'IMPORT SCHEDULE'!H23)</f>
        <v/>
      </c>
      <c r="I23">
        <f>IF($A23="","",'IMPORT SCHEDULE'!I23)</f>
        <v/>
      </c>
      <c r="J23">
        <f>IF($A23="","",IF('IMPORT SCHEDULE'!J23="","",'IMPORT SCHEDULE'!J23))</f>
        <v/>
      </c>
      <c r="K23">
        <f>IF($A23="","",IF('IMPORT SCHEDULE'!K23="","",'IMPORT SCHEDULE'!K23))</f>
        <v/>
      </c>
      <c r="L23">
        <f>IF($A23="","",IF(OR('IMPORT SCHEDULE'!L23=TRUE(),'IMPORT SCHEDULE'!L23="TRUE",'IMPORT SCHEDULE'!L23="true",'IMPORT SCHEDULE'!L23=1,AND(ISNUMBER($J23),ISNUMBER($K23))),1,0))</f>
        <v/>
      </c>
      <c r="M23">
        <f>IF($A23="","",COUNTIF($A$6:$A$1005,$A23))</f>
        <v/>
      </c>
      <c r="N23">
        <f>IF($F23="","",IF(ISNA(MATCH($F23,'TEAM MAP'!$K$6:$K$605,0)),"",INDEX('TEAM MAP'!$L$6:$L$605,MATCH($F23,'TEAM MAP'!$K$6:$K$605,0))))</f>
        <v/>
      </c>
      <c r="O23">
        <f>IF($F23="","",IF($N23&lt;&gt;"","FBS",IF(ISNA(MATCH($G23,'TEAM MAP'!$N$6:$N$40,0)),"FCS","BLOCK")))</f>
        <v/>
      </c>
      <c r="P23">
        <f>IF($H23="","",IF(ISNA(MATCH($H23,'TEAM MAP'!$K$6:$K$605,0)),"",INDEX('TEAM MAP'!$L$6:$L$605,MATCH($H23,'TEAM MAP'!$K$6:$K$605,0))))</f>
        <v/>
      </c>
      <c r="Q23">
        <f>IF($H23="","",IF($P23&lt;&gt;"","FBS",IF(ISNA(MATCH($I23,'TEAM MAP'!$N$6:$N$40,0)),"FCS","BLOCK")))</f>
        <v/>
      </c>
      <c r="R23">
        <f>IF($A23="","",IF($O23="FBS",IF(ISNA(MATCH($N23,PRESEASON!$A$6:$A$143,0)),"",IF(INDEX(PRESEASON!$Z$6:$Z$143,MATCH($N23,PRESEASON!$A$6:$A$143,0))="","",INDEX(PRESEASON!$Z$6:$Z$143,MATCH($N23,PRESEASON!$A$6:$A$143,0)))),IF($O23="FCS",IF(COUNTIF('FCS TIERS'!$J$6:$J$105,$F23)&gt;0,IF(INDEX('FCS TIERS'!$K$6:$K$105,MATCH($F23,'FCS TIERS'!$J$6:$J$105,0))="","",INDEX('FCS TIERS'!$K$6:$K$105,MATCH($F23,'FCS TIERS'!$J$6:$J$105,0))),IF(COUNTIF('FCS TIERS'!$F$6:$F$205,$F23)&gt;0,IF(ISNA(MATCH(INDEX('FCS TIERS'!$G$6:$G$205,MATCH($F23,'FCS TIERS'!$F$6:$F$205,0)),'FCS TIERS'!$A$6:$A$10,0)),"",IF(INDEX('FCS TIERS'!$B$6:$B$10,MATCH(INDEX('FCS TIERS'!$G$6:$G$205,MATCH($F23,'FCS TIERS'!$F$6:$F$205,0)),'FCS TIERS'!$A$6:$A$10,0))="","",INDEX('FCS TIERS'!$B$6:$B$10,MATCH(INDEX('FCS TIERS'!$G$6:$G$205,MATCH($F23,'FCS TIERS'!$F$6:$F$205,0)),'FCS TIERS'!$A$6:$A$10,0)))),"")),"")))</f>
        <v/>
      </c>
      <c r="S23">
        <f>IF($A23="","",IF($Q23="FBS",IF(ISNA(MATCH($P23,PRESEASON!$A$6:$A$143,0)),"",IF(INDEX(PRESEASON!$Z$6:$Z$143,MATCH($P23,PRESEASON!$A$6:$A$143,0))="","",INDEX(PRESEASON!$Z$6:$Z$143,MATCH($P23,PRESEASON!$A$6:$A$143,0)))),IF($Q23="FCS",IF(COUNTIF('FCS TIERS'!$J$6:$J$105,$H23)&gt;0,IF(INDEX('FCS TIERS'!$K$6:$K$105,MATCH($H23,'FCS TIERS'!$J$6:$J$105,0))="","",INDEX('FCS TIERS'!$K$6:$K$105,MATCH($H23,'FCS TIERS'!$J$6:$J$105,0))),IF(COUNTIF('FCS TIERS'!$F$6:$F$205,$H23)&gt;0,IF(ISNA(MATCH(INDEX('FCS TIERS'!$G$6:$G$205,MATCH($H23,'FCS TIERS'!$F$6:$F$205,0)),'FCS TIERS'!$A$6:$A$10,0)),"",IF(INDEX('FCS TIERS'!$B$6:$B$10,MATCH(INDEX('FCS TIERS'!$G$6:$G$205,MATCH($H23,'FCS TIERS'!$F$6:$F$205,0)),'FCS TIERS'!$A$6:$A$10,0))="","",INDEX('FCS TIERS'!$B$6:$B$10,MATCH(INDEX('FCS TIERS'!$G$6:$G$205,MATCH($H23,'FCS TIERS'!$F$6:$F$205,0)),'FCS TIERS'!$A$6:$A$10,0)))),"")),"")))</f>
        <v/>
      </c>
      <c r="T23">
        <f>IF(OR($A23="",$L23&lt;&gt;1,NOT(ISNUMBER($J23)),NOT(ISNUMBER($K23))),"",$K23-$J23)</f>
        <v/>
      </c>
      <c r="U23">
        <f>IF(OR($T23="",NOT(ISNUMBER($R23))),"",MAX(-SETTINGS!$B$14,MIN(SETTINGS!$B$14,$T23-IF($E23=1,0,SETTINGS!$B$6)))-$R23)</f>
        <v/>
      </c>
      <c r="V23">
        <f>IF(OR($T23="",NOT(ISNUMBER($S23))),"",MAX(-SETTINGS!$B$14,MIN(SETTINGS!$B$14,-$T23+IF($E23=1,0,SETTINGS!$B$6)))-$S23)</f>
        <v/>
      </c>
      <c r="W23">
        <f>IF($A23="","",IF(OR(SETTINGS!$B$4="",NOT(ISNUMBER($C23))),1,SETTINGS!$B$20^MAX(0,SETTINGS!$B$4-$C23)))</f>
        <v/>
      </c>
      <c r="X23">
        <f>IF(OR($A23="",NOT(ISNUMBER($U23))),0,$U23*$W23)</f>
        <v/>
      </c>
      <c r="Y23">
        <f>IF(OR($A23="",NOT(ISNUMBER($U23))),0,$W23)</f>
        <v/>
      </c>
      <c r="Z23">
        <f>IF(OR($A23="",NOT(ISNUMBER($V23))),0,$V23*$W23)</f>
        <v/>
      </c>
      <c r="AA23">
        <f>IF(OR($A23="",NOT(ISNUMBER($V23))),0,$W23)</f>
        <v/>
      </c>
      <c r="AB23">
        <f>IF($A23="",0,$L23*IF($O23="FBS",1,0))</f>
        <v/>
      </c>
      <c r="AC23">
        <f>IF($A23="",0,$L23*IF($Q23="FBS",1,0))</f>
        <v/>
      </c>
      <c r="AD23">
        <f>IF($A23="",0,$L23*IF($O23="FBS",1,0))</f>
        <v/>
      </c>
      <c r="AE23">
        <f>IF($A23="",0,$L23*IF($Q23="FBS",1,0))</f>
        <v/>
      </c>
      <c r="AF23">
        <f>IF($A23="","",IF($N23&lt;&gt;"",$N23,$F23))</f>
        <v/>
      </c>
      <c r="AG23">
        <f>IF($A23="","",IF($P23&lt;&gt;"",$P23,$H23))</f>
        <v/>
      </c>
    </row>
    <row r="24">
      <c r="A24">
        <f>IF('IMPORT SCHEDULE'!A24="","",'IMPORT SCHEDULE'!A24)</f>
        <v/>
      </c>
      <c r="B24">
        <f>IF($A24="","",'IMPORT SCHEDULE'!B24)</f>
        <v/>
      </c>
      <c r="C24">
        <f>IF($A24="","",'IMPORT SCHEDULE'!C24)</f>
        <v/>
      </c>
      <c r="D24">
        <f>IF($A24="","",'IMPORT SCHEDULE'!D24)</f>
        <v/>
      </c>
      <c r="E24">
        <f>IF($A24="","",IF(OR('IMPORT SCHEDULE'!E24=TRUE(),'IMPORT SCHEDULE'!E24="TRUE",'IMPORT SCHEDULE'!E24="true",'IMPORT SCHEDULE'!E24=1),1,0))</f>
        <v/>
      </c>
      <c r="F24">
        <f>IF($A24="","",'IMPORT SCHEDULE'!F24)</f>
        <v/>
      </c>
      <c r="G24">
        <f>IF($A24="","",'IMPORT SCHEDULE'!G24)</f>
        <v/>
      </c>
      <c r="H24">
        <f>IF($A24="","",'IMPORT SCHEDULE'!H24)</f>
        <v/>
      </c>
      <c r="I24">
        <f>IF($A24="","",'IMPORT SCHEDULE'!I24)</f>
        <v/>
      </c>
      <c r="J24">
        <f>IF($A24="","",IF('IMPORT SCHEDULE'!J24="","",'IMPORT SCHEDULE'!J24))</f>
        <v/>
      </c>
      <c r="K24">
        <f>IF($A24="","",IF('IMPORT SCHEDULE'!K24="","",'IMPORT SCHEDULE'!K24))</f>
        <v/>
      </c>
      <c r="L24">
        <f>IF($A24="","",IF(OR('IMPORT SCHEDULE'!L24=TRUE(),'IMPORT SCHEDULE'!L24="TRUE",'IMPORT SCHEDULE'!L24="true",'IMPORT SCHEDULE'!L24=1,AND(ISNUMBER($J24),ISNUMBER($K24))),1,0))</f>
        <v/>
      </c>
      <c r="M24">
        <f>IF($A24="","",COUNTIF($A$6:$A$1005,$A24))</f>
        <v/>
      </c>
      <c r="N24">
        <f>IF($F24="","",IF(ISNA(MATCH($F24,'TEAM MAP'!$K$6:$K$605,0)),"",INDEX('TEAM MAP'!$L$6:$L$605,MATCH($F24,'TEAM MAP'!$K$6:$K$605,0))))</f>
        <v/>
      </c>
      <c r="O24">
        <f>IF($F24="","",IF($N24&lt;&gt;"","FBS",IF(ISNA(MATCH($G24,'TEAM MAP'!$N$6:$N$40,0)),"FCS","BLOCK")))</f>
        <v/>
      </c>
      <c r="P24">
        <f>IF($H24="","",IF(ISNA(MATCH($H24,'TEAM MAP'!$K$6:$K$605,0)),"",INDEX('TEAM MAP'!$L$6:$L$605,MATCH($H24,'TEAM MAP'!$K$6:$K$605,0))))</f>
        <v/>
      </c>
      <c r="Q24">
        <f>IF($H24="","",IF($P24&lt;&gt;"","FBS",IF(ISNA(MATCH($I24,'TEAM MAP'!$N$6:$N$40,0)),"FCS","BLOCK")))</f>
        <v/>
      </c>
      <c r="R24">
        <f>IF($A24="","",IF($O24="FBS",IF(ISNA(MATCH($N24,PRESEASON!$A$6:$A$143,0)),"",IF(INDEX(PRESEASON!$Z$6:$Z$143,MATCH($N24,PRESEASON!$A$6:$A$143,0))="","",INDEX(PRESEASON!$Z$6:$Z$143,MATCH($N24,PRESEASON!$A$6:$A$143,0)))),IF($O24="FCS",IF(COUNTIF('FCS TIERS'!$J$6:$J$105,$F24)&gt;0,IF(INDEX('FCS TIERS'!$K$6:$K$105,MATCH($F24,'FCS TIERS'!$J$6:$J$105,0))="","",INDEX('FCS TIERS'!$K$6:$K$105,MATCH($F24,'FCS TIERS'!$J$6:$J$105,0))),IF(COUNTIF('FCS TIERS'!$F$6:$F$205,$F24)&gt;0,IF(ISNA(MATCH(INDEX('FCS TIERS'!$G$6:$G$205,MATCH($F24,'FCS TIERS'!$F$6:$F$205,0)),'FCS TIERS'!$A$6:$A$10,0)),"",IF(INDEX('FCS TIERS'!$B$6:$B$10,MATCH(INDEX('FCS TIERS'!$G$6:$G$205,MATCH($F24,'FCS TIERS'!$F$6:$F$205,0)),'FCS TIERS'!$A$6:$A$10,0))="","",INDEX('FCS TIERS'!$B$6:$B$10,MATCH(INDEX('FCS TIERS'!$G$6:$G$205,MATCH($F24,'FCS TIERS'!$F$6:$F$205,0)),'FCS TIERS'!$A$6:$A$10,0)))),"")),"")))</f>
        <v/>
      </c>
      <c r="S24">
        <f>IF($A24="","",IF($Q24="FBS",IF(ISNA(MATCH($P24,PRESEASON!$A$6:$A$143,0)),"",IF(INDEX(PRESEASON!$Z$6:$Z$143,MATCH($P24,PRESEASON!$A$6:$A$143,0))="","",INDEX(PRESEASON!$Z$6:$Z$143,MATCH($P24,PRESEASON!$A$6:$A$143,0)))),IF($Q24="FCS",IF(COUNTIF('FCS TIERS'!$J$6:$J$105,$H24)&gt;0,IF(INDEX('FCS TIERS'!$K$6:$K$105,MATCH($H24,'FCS TIERS'!$J$6:$J$105,0))="","",INDEX('FCS TIERS'!$K$6:$K$105,MATCH($H24,'FCS TIERS'!$J$6:$J$105,0))),IF(COUNTIF('FCS TIERS'!$F$6:$F$205,$H24)&gt;0,IF(ISNA(MATCH(INDEX('FCS TIERS'!$G$6:$G$205,MATCH($H24,'FCS TIERS'!$F$6:$F$205,0)),'FCS TIERS'!$A$6:$A$10,0)),"",IF(INDEX('FCS TIERS'!$B$6:$B$10,MATCH(INDEX('FCS TIERS'!$G$6:$G$205,MATCH($H24,'FCS TIERS'!$F$6:$F$205,0)),'FCS TIERS'!$A$6:$A$10,0))="","",INDEX('FCS TIERS'!$B$6:$B$10,MATCH(INDEX('FCS TIERS'!$G$6:$G$205,MATCH($H24,'FCS TIERS'!$F$6:$F$205,0)),'FCS TIERS'!$A$6:$A$10,0)))),"")),"")))</f>
        <v/>
      </c>
      <c r="T24">
        <f>IF(OR($A24="",$L24&lt;&gt;1,NOT(ISNUMBER($J24)),NOT(ISNUMBER($K24))),"",$K24-$J24)</f>
        <v/>
      </c>
      <c r="U24">
        <f>IF(OR($T24="",NOT(ISNUMBER($R24))),"",MAX(-SETTINGS!$B$14,MIN(SETTINGS!$B$14,$T24-IF($E24=1,0,SETTINGS!$B$6)))-$R24)</f>
        <v/>
      </c>
      <c r="V24">
        <f>IF(OR($T24="",NOT(ISNUMBER($S24))),"",MAX(-SETTINGS!$B$14,MIN(SETTINGS!$B$14,-$T24+IF($E24=1,0,SETTINGS!$B$6)))-$S24)</f>
        <v/>
      </c>
      <c r="W24">
        <f>IF($A24="","",IF(OR(SETTINGS!$B$4="",NOT(ISNUMBER($C24))),1,SETTINGS!$B$20^MAX(0,SETTINGS!$B$4-$C24)))</f>
        <v/>
      </c>
      <c r="X24">
        <f>IF(OR($A24="",NOT(ISNUMBER($U24))),0,$U24*$W24)</f>
        <v/>
      </c>
      <c r="Y24">
        <f>IF(OR($A24="",NOT(ISNUMBER($U24))),0,$W24)</f>
        <v/>
      </c>
      <c r="Z24">
        <f>IF(OR($A24="",NOT(ISNUMBER($V24))),0,$V24*$W24)</f>
        <v/>
      </c>
      <c r="AA24">
        <f>IF(OR($A24="",NOT(ISNUMBER($V24))),0,$W24)</f>
        <v/>
      </c>
      <c r="AB24">
        <f>IF($A24="",0,$L24*IF($O24="FBS",1,0))</f>
        <v/>
      </c>
      <c r="AC24">
        <f>IF($A24="",0,$L24*IF($Q24="FBS",1,0))</f>
        <v/>
      </c>
      <c r="AD24">
        <f>IF($A24="",0,$L24*IF($O24="FBS",1,0))</f>
        <v/>
      </c>
      <c r="AE24">
        <f>IF($A24="",0,$L24*IF($Q24="FBS",1,0))</f>
        <v/>
      </c>
      <c r="AF24">
        <f>IF($A24="","",IF($N24&lt;&gt;"",$N24,$F24))</f>
        <v/>
      </c>
      <c r="AG24">
        <f>IF($A24="","",IF($P24&lt;&gt;"",$P24,$H24))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24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  <row r="20">
      <c r="A20">
        <f>IF(CLEAN!$A20="","",CLEAN!$A20)</f>
        <v/>
      </c>
      <c r="B20">
        <f>IF($A20="","",CLEAN!$C20)</f>
        <v/>
      </c>
      <c r="C20">
        <f>IF($A20="","",CLEAN!$D20)</f>
        <v/>
      </c>
      <c r="D20">
        <f>IF($A20="","",CLEAN!$AF20)</f>
        <v/>
      </c>
      <c r="E20">
        <f>IF($A20="","",CLEAN!$AG20)</f>
        <v/>
      </c>
      <c r="F20">
        <f>IF($A20="","",CLEAN!$E20)</f>
        <v/>
      </c>
      <c r="G20">
        <f>IF($A20="","",CLEAN!$O20)</f>
        <v/>
      </c>
      <c r="H20">
        <f>IF($A20="","",CLEAN!$Q20)</f>
        <v/>
      </c>
      <c r="I20">
        <f>IF($A20="","",IF($G20="FCS",IF(CLEAN!$R20="","",CLEAN!$R20),IF($G20="FBS",IF(ISNA(MATCH(CLEAN!$N20,'TEAM RATINGS'!$A$6:$A$143,0)),"",IF(INDEX('TEAM RATINGS'!$O$6:$O$143,MATCH(CLEAN!$N20,'TEAM RATINGS'!$A$6:$A$143,0))="","",INDEX('TEAM RATINGS'!$O$6:$O$143,MATCH(CLEAN!$N20,'TEAM RATINGS'!$A$6:$A$143,0)))),"")))</f>
        <v/>
      </c>
      <c r="J20">
        <f>IF($A20="","",IF($H20="FCS",IF(CLEAN!$S20="","",CLEAN!$S20),IF($H20="FBS",IF(ISNA(MATCH(CLEAN!$P20,'TEAM RATINGS'!$A$6:$A$143,0)),"",IF(INDEX('TEAM RATINGS'!$O$6:$O$143,MATCH(CLEAN!$P20,'TEAM RATINGS'!$A$6:$A$143,0))="","",INDEX('TEAM RATINGS'!$O$6:$O$143,MATCH(CLEAN!$P20,'TEAM RATINGS'!$A$6:$A$143,0)))),"")))</f>
        <v/>
      </c>
      <c r="K20">
        <f>IF(OR($I20="",$J20=""),"",$J20-$I20)</f>
        <v/>
      </c>
      <c r="L20">
        <f>IF($A20="","",IF($F20=1,SETTINGS!$B$7,IF($H20&lt;&gt;"FBS",SETTINGS!$B$6,IF(ISNA(MATCH(CLEAN!$P20,'TEAM RATINGS'!$A$6:$A$143,0)),SETTINGS!$B$6,INDEX('TEAM RATINGS'!$S$6:$S$143,MATCH(CLEAN!$P20,'TEAM RATINGS'!$A$6:$A$143,0))))))</f>
        <v/>
      </c>
      <c r="M20">
        <f>IF($A20="","",IF($H20&lt;&gt;"FBS",0,IF(ISNA(MATCH(CLEAN!$P20,'QB VALUES'!$A$6:$A$143,0)),0,IF(INDEX('QB VALUES'!$G$6:$G$143,MATCH(CLEAN!$P20,'QB VALUES'!$A$6:$A$143,0))="",0,INDEX('QB VALUES'!$G$6:$G$143,MATCH(CLEAN!$P20,'QB VALUES'!$A$6:$A$143,0)))))-IF($G20&lt;&gt;"FBS",0,IF(ISNA(MATCH(CLEAN!$N20,'QB VALUES'!$A$6:$A$143,0)),0,IF(INDEX('QB VALUES'!$G$6:$G$143,MATCH(CLEAN!$N20,'QB VALUES'!$A$6:$A$143,0))="",0,INDEX('QB VALUES'!$G$6:$G$143,MATCH(CLEAN!$N20,'QB VALUES'!$A$6:$A$143,0))))))</f>
        <v/>
      </c>
      <c r="N20">
        <f>IF($A20="","",SUMIFS(ADJUSTMENTS!$C$6:$C$255,ADJUSTMENTS!$A$6:$A$255,"TRAVEL/REST",ADJUSTMENTS!$B$6:$B$255,$A20,ADJUSTMENTS!$J$6:$J$255,1))</f>
        <v/>
      </c>
      <c r="O20">
        <f>IF($A20="","",SUMIFS(ADJUSTMENTS!$C$6:$C$255,ADJUSTMENTS!$A$6:$A$255,"GAME",ADJUSTMENTS!$B$6:$B$255,$A20,ADJUSTMENTS!$J$6:$J$255,1)+SUMIFS(ADJUSTMENTS!$C$6:$C$255,ADJUSTMENTS!$A$6:$A$255,"INJURY",ADJUSTMENTS!$B$6:$B$255,$A20,ADJUSTMENTS!$J$6:$J$255,1)+SUMIFS(ADJUSTMENTS!$C$6:$C$255,ADJUSTMENTS!$A$6:$A$255,"WEATHER",ADJUSTMENTS!$B$6:$B$255,$A20,ADJUSTMENTS!$J$6:$J$255,1)+SUMIFS(ADJUSTMENTS!$C$6:$C$255,ADJUSTMENTS!$A$6:$A$255,"QB",ADJUSTMENTS!$B$6:$B$255,$A20,ADJUSTMENTS!$J$6:$J$255,1)+IF(CLEAN!$P20="",0,SUMIFS(ADJUSTMENTS!$C$6:$C$255,ADJUSTMENTS!$A$6:$A$255,"TEAM TEMP",ADJUSTMENTS!$B$6:$B$255,CLEAN!$P20,ADJUSTMENTS!$J$6:$J$255,1))-IF(CLEAN!$N20="",0,SUMIFS(ADJUSTMENTS!$C$6:$C$255,ADJUSTMENTS!$A$6:$A$255,"TEAM TEMP",ADJUSTMENTS!$B$6:$B$255,CLEAN!$N20,ADJUSTMENTS!$J$6:$J$255,1)))</f>
        <v/>
      </c>
      <c r="P20">
        <f>IF($K20="","",$K20+$L20+$M20+$N20+$O20)</f>
        <v/>
      </c>
      <c r="Q20">
        <f>IF($A20="","",IF(COUNTIFS(ADJUSTMENTS!$A$6:$A$255,"MARGIN OVERRIDE",ADJUSTMENTS!$B$6:$B$255,$A20,ADJUSTMENTS!$J$6:$J$255,1)=1,SUMIFS(ADJUSTMENTS!$C$6:$C$255,ADJUSTMENTS!$A$6:$A$255,"MARGIN OVERRIDE",ADJUSTMENTS!$B$6:$B$255,$A20,ADJUSTMENTS!$J$6:$J$255,1),""))</f>
        <v/>
      </c>
      <c r="R20">
        <f>IF($A20="","",IF(ISNUMBER($Q20),$Q20,IF($P20="","",$P20)))</f>
        <v/>
      </c>
      <c r="S20">
        <f>IF(OR($A20="",$R20=""),"",IF($R20&gt;0,$E20&amp;" -"&amp;TEXT(ABS($R20),"0.0"),IF($R20&lt;0,$D20&amp;" -"&amp;TEXT(ABS($R20),"0.0"),"PICK")))</f>
        <v/>
      </c>
      <c r="T20">
        <f>IF($A20="","",CALC!$N20)</f>
        <v/>
      </c>
      <c r="V20">
        <f>IF(OR($R20="",$T20=""),"",$R20+$T20)</f>
        <v/>
      </c>
      <c r="W20">
        <f>IF($V20="","",IF($V20&gt;0,$E20,$D20))</f>
        <v/>
      </c>
      <c r="X20">
        <f>IF(OR($V20="",$AI20="BLOCKED",$AI20="PENDING LINE",$AI20="STALE LINE"),"",IF(ABS($V20)&lt;SETTINGS!$B$8,"",IF(ABS($V20)&lt;SETTINGS!$B$9,"LEAN",IF(OR(ABS($V20)&lt;SETTINGS!$B$10,SETTINGS!$B$11&lt;&gt;"Y",$AI20&lt;&gt;"READY",$AF20&lt;&gt;"",$AG20&lt;&gt;""),"INVESTIGATE","BET"))))</f>
        <v/>
      </c>
      <c r="Y20">
        <f>IF(OR($A20="",SETTINGS!$B$22="",SETTINGS!$B$23="",$G20&lt;&gt;"FBS",$H20&lt;&gt;"FBS",CALC!$T20="",CALC!$U20="",CALC!$V20="",CALC!$W20=""),"",SETTINGS!$B$22+(CALC!$T20+CALC!$V20-CALC!$U20-CALC!$W20)*SETTINGS!$B$23)</f>
        <v/>
      </c>
      <c r="Z20">
        <f>IF($A20="","",CALC!$O20)</f>
        <v/>
      </c>
      <c r="AA20">
        <f>IF(OR($Y20="",$Z20=""),"",$Y20-$Z20)</f>
        <v/>
      </c>
      <c r="AB20">
        <f>IF($AA20="","",IF(ABS($AA20)&lt;SETTINGS!$B$8*2,"",IF(ABS($AA20)&lt;SETTINGS!$B$9*2,"LEAN",IF(OR(SETTINGS!$B$11&lt;&gt;"Y",$AI20&lt;&gt;"READY",ABS($AA20)&lt;SETTINGS!$B$10*2,$AF20&lt;&gt;"",$AG20&lt;&gt;""),"INVESTIGATE","BET"))))</f>
        <v/>
      </c>
      <c r="AC20">
        <f>IF(OR($Y20="",$R20=""),"",($Y20+$R20)/2)</f>
        <v/>
      </c>
      <c r="AD20">
        <f>IF(OR($Y20="",$R20=""),"",($Y20-$R20)/2)</f>
        <v/>
      </c>
      <c r="AE20">
        <f>IF($A20="","",IF(OR(IF($G20&lt;&gt;"FBS",FALSE(),IF(ISNA(MATCH(CLEAN!$N20,'QB VALUES'!$A$6:$A$143,0)),TRUE(),INDEX('QB VALUES'!$M$6:$M$143,MATCH(CLEAN!$N20,'QB VALUES'!$A$6:$A$143,0))="UNCERTAIN")),IF($H20&lt;&gt;"FBS",FALSE(),IF(ISNA(MATCH(CLEAN!$P20,'QB VALUES'!$A$6:$A$143,0)),TRUE(),INDEX('QB VALUES'!$M$6:$M$143,MATCH(CLEAN!$P20,'QB VALUES'!$A$6:$A$143,0))="UNCERTAIN"))),"QB UNCERTAIN","OK"))</f>
        <v/>
      </c>
      <c r="AF20">
        <f>IF($A20="","",IF(IF($G20&lt;&gt;"FBS",0,IF(AND(INDEX('TEAM RATINGS'!$D$6:$D$143,MATCH(CLEAN!$N20,'TEAM RATINGS'!$A$6:$A$143,0))="Y",INDEX('TEAM RATINGS'!$X$6:$X$143,MATCH(CLEAN!$N20,'TEAM RATINGS'!$A$6:$A$143,0))&lt;&gt;"Y"),1,0))+IF($H20&lt;&gt;"FBS",0,IF(AND(INDEX('TEAM RATINGS'!$D$6:$D$143,MATCH(CLEAN!$P20,'TEAM RATINGS'!$A$6:$A$143,0))="Y",INDEX('TEAM RATINGS'!$X$6:$X$143,MATCH(CLEAN!$P20,'TEAM RATINGS'!$A$6:$A$143,0))&lt;&gt;"Y"),1,0))&gt;0,"TRANSITIONAL",""))</f>
        <v/>
      </c>
      <c r="AG20">
        <f>IF($A20="","",IF(OR($G20="FCS",$H20="FCS"),"FCS OPP",""))</f>
        <v/>
      </c>
      <c r="AH20">
        <f>IF($A20="","",IF(CLEAN!$M20&gt;1,"DUP GAMEID; ","")&amp;IF(OR($G20="BLOCK",$H20="BLOCK"),"TEAM NOT FOUND; ","")&amp;IF(AND($G20="FBS",$I20=""),"AWAY RATING MISSING; ","")&amp;IF(AND($H20="FBS",$J20=""),"HOME RATING MISSING; ","")&amp;IF(AND(CALC!$L20&lt;&gt;"",CALC!$M20&lt;&gt;"",CALC!$N20=""),"INVALID FAVORITE; ","")&amp;IF(CALC!$R20=1,"DUPLICATE MARKET ROW; ","")&amp;IF(COUNTIFS(ADJUSTMENTS!$A$6:$A$255,"MARGIN OVERRIDE",ADJUSTMENTS!$B$6:$B$255,$A20,ADJUSTMENTS!$J$6:$J$255,1)&gt;1,"DUPLICATE OVERRIDE; ",""))</f>
        <v/>
      </c>
      <c r="AI20">
        <f>IF($A20="","",IF($AH20&lt;&gt;"","BLOCKED",IF($AG20&lt;&gt;"","FCS — NO PLAY",IF(CALC!$S20=1,"PENDING LINE",IF(CALC!$Q20=1,"STALE LINE",IF($AE20="QB UNCERTAIN","QB UNCERTAIN",IF($AF20&lt;&gt;"","TRANSITION UNCERTAIN",IF(OR($B20="",$C20=""),"DATA INCOMPLETE","READY"))))))))</f>
        <v/>
      </c>
      <c r="AJ20">
        <f>IF(OR($AI20="",$AI20="BLOCKED",$AI20="PENDING LINE",$AI20="FCS — NO PLAY"),"",MAX(1,MIN(5,3-IF(CALC!$Z20&lt;SETTINGS!$B$24,1,0)-IF($AE20="QB UNCERTAIN",1,0)-IF($AF20&lt;&gt;"",1,0)-IF($AG20&lt;&gt;"",1,0)+IF(CALC!$Z20&gt;=6,1,0))))</f>
        <v/>
      </c>
      <c r="AK20">
        <f>IF($A20="","",IF(ISNUMBER($Q20),"MARGIN OVR; ","")&amp;IF($G20&lt;&gt;"FBS","",IF(INDEX('TEAM RATINGS'!$P$6:$P$143,MATCH(CLEAN!$N20,'TEAM RATINGS'!$A$6:$A$143,0))="OVERRIDE","AWAY RATING OVR; ",""))&amp;IF($H20&lt;&gt;"FBS","",IF(INDEX('TEAM RATINGS'!$P$6:$P$143,MATCH(CLEAN!$P20,'TEAM RATINGS'!$A$6:$A$143,0))="OVERRIDE","HOME RATING OVR; ","")))</f>
        <v/>
      </c>
    </row>
    <row r="21">
      <c r="A21">
        <f>IF(CLEAN!$A21="","",CLEAN!$A21)</f>
        <v/>
      </c>
      <c r="B21">
        <f>IF($A21="","",CLEAN!$C21)</f>
        <v/>
      </c>
      <c r="C21">
        <f>IF($A21="","",CLEAN!$D21)</f>
        <v/>
      </c>
      <c r="D21">
        <f>IF($A21="","",CLEAN!$AF21)</f>
        <v/>
      </c>
      <c r="E21">
        <f>IF($A21="","",CLEAN!$AG21)</f>
        <v/>
      </c>
      <c r="F21">
        <f>IF($A21="","",CLEAN!$E21)</f>
        <v/>
      </c>
      <c r="G21">
        <f>IF($A21="","",CLEAN!$O21)</f>
        <v/>
      </c>
      <c r="H21">
        <f>IF($A21="","",CLEAN!$Q21)</f>
        <v/>
      </c>
      <c r="I21">
        <f>IF($A21="","",IF($G21="FCS",IF(CLEAN!$R21="","",CLEAN!$R21),IF($G21="FBS",IF(ISNA(MATCH(CLEAN!$N21,'TEAM RATINGS'!$A$6:$A$143,0)),"",IF(INDEX('TEAM RATINGS'!$O$6:$O$143,MATCH(CLEAN!$N21,'TEAM RATINGS'!$A$6:$A$143,0))="","",INDEX('TEAM RATINGS'!$O$6:$O$143,MATCH(CLEAN!$N21,'TEAM RATINGS'!$A$6:$A$143,0)))),"")))</f>
        <v/>
      </c>
      <c r="J21">
        <f>IF($A21="","",IF($H21="FCS",IF(CLEAN!$S21="","",CLEAN!$S21),IF($H21="FBS",IF(ISNA(MATCH(CLEAN!$P21,'TEAM RATINGS'!$A$6:$A$143,0)),"",IF(INDEX('TEAM RATINGS'!$O$6:$O$143,MATCH(CLEAN!$P21,'TEAM RATINGS'!$A$6:$A$143,0))="","",INDEX('TEAM RATINGS'!$O$6:$O$143,MATCH(CLEAN!$P21,'TEAM RATINGS'!$A$6:$A$143,0)))),"")))</f>
        <v/>
      </c>
      <c r="K21">
        <f>IF(OR($I21="",$J21=""),"",$J21-$I21)</f>
        <v/>
      </c>
      <c r="L21">
        <f>IF($A21="","",IF($F21=1,SETTINGS!$B$7,IF($H21&lt;&gt;"FBS",SETTINGS!$B$6,IF(ISNA(MATCH(CLEAN!$P21,'TEAM RATINGS'!$A$6:$A$143,0)),SETTINGS!$B$6,INDEX('TEAM RATINGS'!$S$6:$S$143,MATCH(CLEAN!$P21,'TEAM RATINGS'!$A$6:$A$143,0))))))</f>
        <v/>
      </c>
      <c r="M21">
        <f>IF($A21="","",IF($H21&lt;&gt;"FBS",0,IF(ISNA(MATCH(CLEAN!$P21,'QB VALUES'!$A$6:$A$143,0)),0,IF(INDEX('QB VALUES'!$G$6:$G$143,MATCH(CLEAN!$P21,'QB VALUES'!$A$6:$A$143,0))="",0,INDEX('QB VALUES'!$G$6:$G$143,MATCH(CLEAN!$P21,'QB VALUES'!$A$6:$A$143,0)))))-IF($G21&lt;&gt;"FBS",0,IF(ISNA(MATCH(CLEAN!$N21,'QB VALUES'!$A$6:$A$143,0)),0,IF(INDEX('QB VALUES'!$G$6:$G$143,MATCH(CLEAN!$N21,'QB VALUES'!$A$6:$A$143,0))="",0,INDEX('QB VALUES'!$G$6:$G$143,MATCH(CLEAN!$N21,'QB VALUES'!$A$6:$A$143,0))))))</f>
        <v/>
      </c>
      <c r="N21">
        <f>IF($A21="","",SUMIFS(ADJUSTMENTS!$C$6:$C$255,ADJUSTMENTS!$A$6:$A$255,"TRAVEL/REST",ADJUSTMENTS!$B$6:$B$255,$A21,ADJUSTMENTS!$J$6:$J$255,1))</f>
        <v/>
      </c>
      <c r="O21">
        <f>IF($A21="","",SUMIFS(ADJUSTMENTS!$C$6:$C$255,ADJUSTMENTS!$A$6:$A$255,"GAME",ADJUSTMENTS!$B$6:$B$255,$A21,ADJUSTMENTS!$J$6:$J$255,1)+SUMIFS(ADJUSTMENTS!$C$6:$C$255,ADJUSTMENTS!$A$6:$A$255,"INJURY",ADJUSTMENTS!$B$6:$B$255,$A21,ADJUSTMENTS!$J$6:$J$255,1)+SUMIFS(ADJUSTMENTS!$C$6:$C$255,ADJUSTMENTS!$A$6:$A$255,"WEATHER",ADJUSTMENTS!$B$6:$B$255,$A21,ADJUSTMENTS!$J$6:$J$255,1)+SUMIFS(ADJUSTMENTS!$C$6:$C$255,ADJUSTMENTS!$A$6:$A$255,"QB",ADJUSTMENTS!$B$6:$B$255,$A21,ADJUSTMENTS!$J$6:$J$255,1)+IF(CLEAN!$P21="",0,SUMIFS(ADJUSTMENTS!$C$6:$C$255,ADJUSTMENTS!$A$6:$A$255,"TEAM TEMP",ADJUSTMENTS!$B$6:$B$255,CLEAN!$P21,ADJUSTMENTS!$J$6:$J$255,1))-IF(CLEAN!$N21="",0,SUMIFS(ADJUSTMENTS!$C$6:$C$255,ADJUSTMENTS!$A$6:$A$255,"TEAM TEMP",ADJUSTMENTS!$B$6:$B$255,CLEAN!$N21,ADJUSTMENTS!$J$6:$J$255,1)))</f>
        <v/>
      </c>
      <c r="P21">
        <f>IF($K21="","",$K21+$L21+$M21+$N21+$O21)</f>
        <v/>
      </c>
      <c r="Q21">
        <f>IF($A21="","",IF(COUNTIFS(ADJUSTMENTS!$A$6:$A$255,"MARGIN OVERRIDE",ADJUSTMENTS!$B$6:$B$255,$A21,ADJUSTMENTS!$J$6:$J$255,1)=1,SUMIFS(ADJUSTMENTS!$C$6:$C$255,ADJUSTMENTS!$A$6:$A$255,"MARGIN OVERRIDE",ADJUSTMENTS!$B$6:$B$255,$A21,ADJUSTMENTS!$J$6:$J$255,1),""))</f>
        <v/>
      </c>
      <c r="R21">
        <f>IF($A21="","",IF(ISNUMBER($Q21),$Q21,IF($P21="","",$P21)))</f>
        <v/>
      </c>
      <c r="S21">
        <f>IF(OR($A21="",$R21=""),"",IF($R21&gt;0,$E21&amp;" -"&amp;TEXT(ABS($R21),"0.0"),IF($R21&lt;0,$D21&amp;" -"&amp;TEXT(ABS($R21),"0.0"),"PICK")))</f>
        <v/>
      </c>
      <c r="T21">
        <f>IF($A21="","",CALC!$N21)</f>
        <v/>
      </c>
      <c r="V21">
        <f>IF(OR($R21="",$T21=""),"",$R21+$T21)</f>
        <v/>
      </c>
      <c r="W21">
        <f>IF($V21="","",IF($V21&gt;0,$E21,$D21))</f>
        <v/>
      </c>
      <c r="X21">
        <f>IF(OR($V21="",$AI21="BLOCKED",$AI21="PENDING LINE",$AI21="STALE LINE"),"",IF(ABS($V21)&lt;SETTINGS!$B$8,"",IF(ABS($V21)&lt;SETTINGS!$B$9,"LEAN",IF(OR(ABS($V21)&lt;SETTINGS!$B$10,SETTINGS!$B$11&lt;&gt;"Y",$AI21&lt;&gt;"READY",$AF21&lt;&gt;"",$AG21&lt;&gt;""),"INVESTIGATE","BET"))))</f>
        <v/>
      </c>
      <c r="Y21">
        <f>IF(OR($A21="",SETTINGS!$B$22="",SETTINGS!$B$23="",$G21&lt;&gt;"FBS",$H21&lt;&gt;"FBS",CALC!$T21="",CALC!$U21="",CALC!$V21="",CALC!$W21=""),"",SETTINGS!$B$22+(CALC!$T21+CALC!$V21-CALC!$U21-CALC!$W21)*SETTINGS!$B$23)</f>
        <v/>
      </c>
      <c r="Z21">
        <f>IF($A21="","",CALC!$O21)</f>
        <v/>
      </c>
      <c r="AA21">
        <f>IF(OR($Y21="",$Z21=""),"",$Y21-$Z21)</f>
        <v/>
      </c>
      <c r="AB21">
        <f>IF($AA21="","",IF(ABS($AA21)&lt;SETTINGS!$B$8*2,"",IF(ABS($AA21)&lt;SETTINGS!$B$9*2,"LEAN",IF(OR(SETTINGS!$B$11&lt;&gt;"Y",$AI21&lt;&gt;"READY",ABS($AA21)&lt;SETTINGS!$B$10*2,$AF21&lt;&gt;"",$AG21&lt;&gt;""),"INVESTIGATE","BET"))))</f>
        <v/>
      </c>
      <c r="AC21">
        <f>IF(OR($Y21="",$R21=""),"",($Y21+$R21)/2)</f>
        <v/>
      </c>
      <c r="AD21">
        <f>IF(OR($Y21="",$R21=""),"",($Y21-$R21)/2)</f>
        <v/>
      </c>
      <c r="AE21">
        <f>IF($A21="","",IF(OR(IF($G21&lt;&gt;"FBS",FALSE(),IF(ISNA(MATCH(CLEAN!$N21,'QB VALUES'!$A$6:$A$143,0)),TRUE(),INDEX('QB VALUES'!$M$6:$M$143,MATCH(CLEAN!$N21,'QB VALUES'!$A$6:$A$143,0))="UNCERTAIN")),IF($H21&lt;&gt;"FBS",FALSE(),IF(ISNA(MATCH(CLEAN!$P21,'QB VALUES'!$A$6:$A$143,0)),TRUE(),INDEX('QB VALUES'!$M$6:$M$143,MATCH(CLEAN!$P21,'QB VALUES'!$A$6:$A$143,0))="UNCERTAIN"))),"QB UNCERTAIN","OK"))</f>
        <v/>
      </c>
      <c r="AF21">
        <f>IF($A21="","",IF(IF($G21&lt;&gt;"FBS",0,IF(AND(INDEX('TEAM RATINGS'!$D$6:$D$143,MATCH(CLEAN!$N21,'TEAM RATINGS'!$A$6:$A$143,0))="Y",INDEX('TEAM RATINGS'!$X$6:$X$143,MATCH(CLEAN!$N21,'TEAM RATINGS'!$A$6:$A$143,0))&lt;&gt;"Y"),1,0))+IF($H21&lt;&gt;"FBS",0,IF(AND(INDEX('TEAM RATINGS'!$D$6:$D$143,MATCH(CLEAN!$P21,'TEAM RATINGS'!$A$6:$A$143,0))="Y",INDEX('TEAM RATINGS'!$X$6:$X$143,MATCH(CLEAN!$P21,'TEAM RATINGS'!$A$6:$A$143,0))&lt;&gt;"Y"),1,0))&gt;0,"TRANSITIONAL",""))</f>
        <v/>
      </c>
      <c r="AG21">
        <f>IF($A21="","",IF(OR($G21="FCS",$H21="FCS"),"FCS OPP",""))</f>
        <v/>
      </c>
      <c r="AH21">
        <f>IF($A21="","",IF(CLEAN!$M21&gt;1,"DUP GAMEID; ","")&amp;IF(OR($G21="BLOCK",$H21="BLOCK"),"TEAM NOT FOUND; ","")&amp;IF(AND($G21="FBS",$I21=""),"AWAY RATING MISSING; ","")&amp;IF(AND($H21="FBS",$J21=""),"HOME RATING MISSING; ","")&amp;IF(AND(CALC!$L21&lt;&gt;"",CALC!$M21&lt;&gt;"",CALC!$N21=""),"INVALID FAVORITE; ","")&amp;IF(CALC!$R21=1,"DUPLICATE MARKET ROW; ","")&amp;IF(COUNTIFS(ADJUSTMENTS!$A$6:$A$255,"MARGIN OVERRIDE",ADJUSTMENTS!$B$6:$B$255,$A21,ADJUSTMENTS!$J$6:$J$255,1)&gt;1,"DUPLICATE OVERRIDE; ",""))</f>
        <v/>
      </c>
      <c r="AI21">
        <f>IF($A21="","",IF($AH21&lt;&gt;"","BLOCKED",IF($AG21&lt;&gt;"","FCS — NO PLAY",IF(CALC!$S21=1,"PENDING LINE",IF(CALC!$Q21=1,"STALE LINE",IF($AE21="QB UNCERTAIN","QB UNCERTAIN",IF($AF21&lt;&gt;"","TRANSITION UNCERTAIN",IF(OR($B21="",$C21=""),"DATA INCOMPLETE","READY"))))))))</f>
        <v/>
      </c>
      <c r="AJ21">
        <f>IF(OR($AI21="",$AI21="BLOCKED",$AI21="PENDING LINE",$AI21="FCS — NO PLAY"),"",MAX(1,MIN(5,3-IF(CALC!$Z21&lt;SETTINGS!$B$24,1,0)-IF($AE21="QB UNCERTAIN",1,0)-IF($AF21&lt;&gt;"",1,0)-IF($AG21&lt;&gt;"",1,0)+IF(CALC!$Z21&gt;=6,1,0))))</f>
        <v/>
      </c>
      <c r="AK21">
        <f>IF($A21="","",IF(ISNUMBER($Q21),"MARGIN OVR; ","")&amp;IF($G21&lt;&gt;"FBS","",IF(INDEX('TEAM RATINGS'!$P$6:$P$143,MATCH(CLEAN!$N21,'TEAM RATINGS'!$A$6:$A$143,0))="OVERRIDE","AWAY RATING OVR; ",""))&amp;IF($H21&lt;&gt;"FBS","",IF(INDEX('TEAM RATINGS'!$P$6:$P$143,MATCH(CLEAN!$P21,'TEAM RATINGS'!$A$6:$A$143,0))="OVERRIDE","HOME RATING OVR; ","")))</f>
        <v/>
      </c>
    </row>
    <row r="22">
      <c r="A22">
        <f>IF(CLEAN!$A22="","",CLEAN!$A22)</f>
        <v/>
      </c>
      <c r="B22">
        <f>IF($A22="","",CLEAN!$C22)</f>
        <v/>
      </c>
      <c r="C22">
        <f>IF($A22="","",CLEAN!$D22)</f>
        <v/>
      </c>
      <c r="D22">
        <f>IF($A22="","",CLEAN!$AF22)</f>
        <v/>
      </c>
      <c r="E22">
        <f>IF($A22="","",CLEAN!$AG22)</f>
        <v/>
      </c>
      <c r="F22">
        <f>IF($A22="","",CLEAN!$E22)</f>
        <v/>
      </c>
      <c r="G22">
        <f>IF($A22="","",CLEAN!$O22)</f>
        <v/>
      </c>
      <c r="H22">
        <f>IF($A22="","",CLEAN!$Q22)</f>
        <v/>
      </c>
      <c r="I22">
        <f>IF($A22="","",IF($G22="FCS",IF(CLEAN!$R22="","",CLEAN!$R22),IF($G22="FBS",IF(ISNA(MATCH(CLEAN!$N22,'TEAM RATINGS'!$A$6:$A$143,0)),"",IF(INDEX('TEAM RATINGS'!$O$6:$O$143,MATCH(CLEAN!$N22,'TEAM RATINGS'!$A$6:$A$143,0))="","",INDEX('TEAM RATINGS'!$O$6:$O$143,MATCH(CLEAN!$N22,'TEAM RATINGS'!$A$6:$A$143,0)))),"")))</f>
        <v/>
      </c>
      <c r="J22">
        <f>IF($A22="","",IF($H22="FCS",IF(CLEAN!$S22="","",CLEAN!$S22),IF($H22="FBS",IF(ISNA(MATCH(CLEAN!$P22,'TEAM RATINGS'!$A$6:$A$143,0)),"",IF(INDEX('TEAM RATINGS'!$O$6:$O$143,MATCH(CLEAN!$P22,'TEAM RATINGS'!$A$6:$A$143,0))="","",INDEX('TEAM RATINGS'!$O$6:$O$143,MATCH(CLEAN!$P22,'TEAM RATINGS'!$A$6:$A$143,0)))),"")))</f>
        <v/>
      </c>
      <c r="K22">
        <f>IF(OR($I22="",$J22=""),"",$J22-$I22)</f>
        <v/>
      </c>
      <c r="L22">
        <f>IF($A22="","",IF($F22=1,SETTINGS!$B$7,IF($H22&lt;&gt;"FBS",SETTINGS!$B$6,IF(ISNA(MATCH(CLEAN!$P22,'TEAM RATINGS'!$A$6:$A$143,0)),SETTINGS!$B$6,INDEX('TEAM RATINGS'!$S$6:$S$143,MATCH(CLEAN!$P22,'TEAM RATINGS'!$A$6:$A$143,0))))))</f>
        <v/>
      </c>
      <c r="M22">
        <f>IF($A22="","",IF($H22&lt;&gt;"FBS",0,IF(ISNA(MATCH(CLEAN!$P22,'QB VALUES'!$A$6:$A$143,0)),0,IF(INDEX('QB VALUES'!$G$6:$G$143,MATCH(CLEAN!$P22,'QB VALUES'!$A$6:$A$143,0))="",0,INDEX('QB VALUES'!$G$6:$G$143,MATCH(CLEAN!$P22,'QB VALUES'!$A$6:$A$143,0)))))-IF($G22&lt;&gt;"FBS",0,IF(ISNA(MATCH(CLEAN!$N22,'QB VALUES'!$A$6:$A$143,0)),0,IF(INDEX('QB VALUES'!$G$6:$G$143,MATCH(CLEAN!$N22,'QB VALUES'!$A$6:$A$143,0))="",0,INDEX('QB VALUES'!$G$6:$G$143,MATCH(CLEAN!$N22,'QB VALUES'!$A$6:$A$143,0))))))</f>
        <v/>
      </c>
      <c r="N22">
        <f>IF($A22="","",SUMIFS(ADJUSTMENTS!$C$6:$C$255,ADJUSTMENTS!$A$6:$A$255,"TRAVEL/REST",ADJUSTMENTS!$B$6:$B$255,$A22,ADJUSTMENTS!$J$6:$J$255,1))</f>
        <v/>
      </c>
      <c r="O22">
        <f>IF($A22="","",SUMIFS(ADJUSTMENTS!$C$6:$C$255,ADJUSTMENTS!$A$6:$A$255,"GAME",ADJUSTMENTS!$B$6:$B$255,$A22,ADJUSTMENTS!$J$6:$J$255,1)+SUMIFS(ADJUSTMENTS!$C$6:$C$255,ADJUSTMENTS!$A$6:$A$255,"INJURY",ADJUSTMENTS!$B$6:$B$255,$A22,ADJUSTMENTS!$J$6:$J$255,1)+SUMIFS(ADJUSTMENTS!$C$6:$C$255,ADJUSTMENTS!$A$6:$A$255,"WEATHER",ADJUSTMENTS!$B$6:$B$255,$A22,ADJUSTMENTS!$J$6:$J$255,1)+SUMIFS(ADJUSTMENTS!$C$6:$C$255,ADJUSTMENTS!$A$6:$A$255,"QB",ADJUSTMENTS!$B$6:$B$255,$A22,ADJUSTMENTS!$J$6:$J$255,1)+IF(CLEAN!$P22="",0,SUMIFS(ADJUSTMENTS!$C$6:$C$255,ADJUSTMENTS!$A$6:$A$255,"TEAM TEMP",ADJUSTMENTS!$B$6:$B$255,CLEAN!$P22,ADJUSTMENTS!$J$6:$J$255,1))-IF(CLEAN!$N22="",0,SUMIFS(ADJUSTMENTS!$C$6:$C$255,ADJUSTMENTS!$A$6:$A$255,"TEAM TEMP",ADJUSTMENTS!$B$6:$B$255,CLEAN!$N22,ADJUSTMENTS!$J$6:$J$255,1)))</f>
        <v/>
      </c>
      <c r="P22">
        <f>IF($K22="","",$K22+$L22+$M22+$N22+$O22)</f>
        <v/>
      </c>
      <c r="Q22">
        <f>IF($A22="","",IF(COUNTIFS(ADJUSTMENTS!$A$6:$A$255,"MARGIN OVERRIDE",ADJUSTMENTS!$B$6:$B$255,$A22,ADJUSTMENTS!$J$6:$J$255,1)=1,SUMIFS(ADJUSTMENTS!$C$6:$C$255,ADJUSTMENTS!$A$6:$A$255,"MARGIN OVERRIDE",ADJUSTMENTS!$B$6:$B$255,$A22,ADJUSTMENTS!$J$6:$J$255,1),""))</f>
        <v/>
      </c>
      <c r="R22">
        <f>IF($A22="","",IF(ISNUMBER($Q22),$Q22,IF($P22="","",$P22)))</f>
        <v/>
      </c>
      <c r="S22">
        <f>IF(OR($A22="",$R22=""),"",IF($R22&gt;0,$E22&amp;" -"&amp;TEXT(ABS($R22),"0.0"),IF($R22&lt;0,$D22&amp;" -"&amp;TEXT(ABS($R22),"0.0"),"PICK")))</f>
        <v/>
      </c>
      <c r="T22">
        <f>IF($A22="","",CALC!$N22)</f>
        <v/>
      </c>
      <c r="V22">
        <f>IF(OR($R22="",$T22=""),"",$R22+$T22)</f>
        <v/>
      </c>
      <c r="W22">
        <f>IF($V22="","",IF($V22&gt;0,$E22,$D22))</f>
        <v/>
      </c>
      <c r="X22">
        <f>IF(OR($V22="",$AI22="BLOCKED",$AI22="PENDING LINE",$AI22="STALE LINE"),"",IF(ABS($V22)&lt;SETTINGS!$B$8,"",IF(ABS($V22)&lt;SETTINGS!$B$9,"LEAN",IF(OR(ABS($V22)&lt;SETTINGS!$B$10,SETTINGS!$B$11&lt;&gt;"Y",$AI22&lt;&gt;"READY",$AF22&lt;&gt;"",$AG22&lt;&gt;""),"INVESTIGATE","BET"))))</f>
        <v/>
      </c>
      <c r="Y22">
        <f>IF(OR($A22="",SETTINGS!$B$22="",SETTINGS!$B$23="",$G22&lt;&gt;"FBS",$H22&lt;&gt;"FBS",CALC!$T22="",CALC!$U22="",CALC!$V22="",CALC!$W22=""),"",SETTINGS!$B$22+(CALC!$T22+CALC!$V22-CALC!$U22-CALC!$W22)*SETTINGS!$B$23)</f>
        <v/>
      </c>
      <c r="Z22">
        <f>IF($A22="","",CALC!$O22)</f>
        <v/>
      </c>
      <c r="AA22">
        <f>IF(OR($Y22="",$Z22=""),"",$Y22-$Z22)</f>
        <v/>
      </c>
      <c r="AB22">
        <f>IF($AA22="","",IF(ABS($AA22)&lt;SETTINGS!$B$8*2,"",IF(ABS($AA22)&lt;SETTINGS!$B$9*2,"LEAN",IF(OR(SETTINGS!$B$11&lt;&gt;"Y",$AI22&lt;&gt;"READY",ABS($AA22)&lt;SETTINGS!$B$10*2,$AF22&lt;&gt;"",$AG22&lt;&gt;""),"INVESTIGATE","BET"))))</f>
        <v/>
      </c>
      <c r="AC22">
        <f>IF(OR($Y22="",$R22=""),"",($Y22+$R22)/2)</f>
        <v/>
      </c>
      <c r="AD22">
        <f>IF(OR($Y22="",$R22=""),"",($Y22-$R22)/2)</f>
        <v/>
      </c>
      <c r="AE22">
        <f>IF($A22="","",IF(OR(IF($G22&lt;&gt;"FBS",FALSE(),IF(ISNA(MATCH(CLEAN!$N22,'QB VALUES'!$A$6:$A$143,0)),TRUE(),INDEX('QB VALUES'!$M$6:$M$143,MATCH(CLEAN!$N22,'QB VALUES'!$A$6:$A$143,0))="UNCERTAIN")),IF($H22&lt;&gt;"FBS",FALSE(),IF(ISNA(MATCH(CLEAN!$P22,'QB VALUES'!$A$6:$A$143,0)),TRUE(),INDEX('QB VALUES'!$M$6:$M$143,MATCH(CLEAN!$P22,'QB VALUES'!$A$6:$A$143,0))="UNCERTAIN"))),"QB UNCERTAIN","OK"))</f>
        <v/>
      </c>
      <c r="AF22">
        <f>IF($A22="","",IF(IF($G22&lt;&gt;"FBS",0,IF(AND(INDEX('TEAM RATINGS'!$D$6:$D$143,MATCH(CLEAN!$N22,'TEAM RATINGS'!$A$6:$A$143,0))="Y",INDEX('TEAM RATINGS'!$X$6:$X$143,MATCH(CLEAN!$N22,'TEAM RATINGS'!$A$6:$A$143,0))&lt;&gt;"Y"),1,0))+IF($H22&lt;&gt;"FBS",0,IF(AND(INDEX('TEAM RATINGS'!$D$6:$D$143,MATCH(CLEAN!$P22,'TEAM RATINGS'!$A$6:$A$143,0))="Y",INDEX('TEAM RATINGS'!$X$6:$X$143,MATCH(CLEAN!$P22,'TEAM RATINGS'!$A$6:$A$143,0))&lt;&gt;"Y"),1,0))&gt;0,"TRANSITIONAL",""))</f>
        <v/>
      </c>
      <c r="AG22">
        <f>IF($A22="","",IF(OR($G22="FCS",$H22="FCS"),"FCS OPP",""))</f>
        <v/>
      </c>
      <c r="AH22">
        <f>IF($A22="","",IF(CLEAN!$M22&gt;1,"DUP GAMEID; ","")&amp;IF(OR($G22="BLOCK",$H22="BLOCK"),"TEAM NOT FOUND; ","")&amp;IF(AND($G22="FBS",$I22=""),"AWAY RATING MISSING; ","")&amp;IF(AND($H22="FBS",$J22=""),"HOME RATING MISSING; ","")&amp;IF(AND(CALC!$L22&lt;&gt;"",CALC!$M22&lt;&gt;"",CALC!$N22=""),"INVALID FAVORITE; ","")&amp;IF(CALC!$R22=1,"DUPLICATE MARKET ROW; ","")&amp;IF(COUNTIFS(ADJUSTMENTS!$A$6:$A$255,"MARGIN OVERRIDE",ADJUSTMENTS!$B$6:$B$255,$A22,ADJUSTMENTS!$J$6:$J$255,1)&gt;1,"DUPLICATE OVERRIDE; ",""))</f>
        <v/>
      </c>
      <c r="AI22">
        <f>IF($A22="","",IF($AH22&lt;&gt;"","BLOCKED",IF($AG22&lt;&gt;"","FCS — NO PLAY",IF(CALC!$S22=1,"PENDING LINE",IF(CALC!$Q22=1,"STALE LINE",IF($AE22="QB UNCERTAIN","QB UNCERTAIN",IF($AF22&lt;&gt;"","TRANSITION UNCERTAIN",IF(OR($B22="",$C22=""),"DATA INCOMPLETE","READY"))))))))</f>
        <v/>
      </c>
      <c r="AJ22">
        <f>IF(OR($AI22="",$AI22="BLOCKED",$AI22="PENDING LINE",$AI22="FCS — NO PLAY"),"",MAX(1,MIN(5,3-IF(CALC!$Z22&lt;SETTINGS!$B$24,1,0)-IF($AE22="QB UNCERTAIN",1,0)-IF($AF22&lt;&gt;"",1,0)-IF($AG22&lt;&gt;"",1,0)+IF(CALC!$Z22&gt;=6,1,0))))</f>
        <v/>
      </c>
      <c r="AK22">
        <f>IF($A22="","",IF(ISNUMBER($Q22),"MARGIN OVR; ","")&amp;IF($G22&lt;&gt;"FBS","",IF(INDEX('TEAM RATINGS'!$P$6:$P$143,MATCH(CLEAN!$N22,'TEAM RATINGS'!$A$6:$A$143,0))="OVERRIDE","AWAY RATING OVR; ",""))&amp;IF($H22&lt;&gt;"FBS","",IF(INDEX('TEAM RATINGS'!$P$6:$P$143,MATCH(CLEAN!$P22,'TEAM RATINGS'!$A$6:$A$143,0))="OVERRIDE","HOME RATING OVR; ","")))</f>
        <v/>
      </c>
    </row>
    <row r="23">
      <c r="A23">
        <f>IF(CLEAN!$A23="","",CLEAN!$A23)</f>
        <v/>
      </c>
      <c r="B23">
        <f>IF($A23="","",CLEAN!$C23)</f>
        <v/>
      </c>
      <c r="C23">
        <f>IF($A23="","",CLEAN!$D23)</f>
        <v/>
      </c>
      <c r="D23">
        <f>IF($A23="","",CLEAN!$AF23)</f>
        <v/>
      </c>
      <c r="E23">
        <f>IF($A23="","",CLEAN!$AG23)</f>
        <v/>
      </c>
      <c r="F23">
        <f>IF($A23="","",CLEAN!$E23)</f>
        <v/>
      </c>
      <c r="G23">
        <f>IF($A23="","",CLEAN!$O23)</f>
        <v/>
      </c>
      <c r="H23">
        <f>IF($A23="","",CLEAN!$Q23)</f>
        <v/>
      </c>
      <c r="I23">
        <f>IF($A23="","",IF($G23="FCS",IF(CLEAN!$R23="","",CLEAN!$R23),IF($G23="FBS",IF(ISNA(MATCH(CLEAN!$N23,'TEAM RATINGS'!$A$6:$A$143,0)),"",IF(INDEX('TEAM RATINGS'!$O$6:$O$143,MATCH(CLEAN!$N23,'TEAM RATINGS'!$A$6:$A$143,0))="","",INDEX('TEAM RATINGS'!$O$6:$O$143,MATCH(CLEAN!$N23,'TEAM RATINGS'!$A$6:$A$143,0)))),"")))</f>
        <v/>
      </c>
      <c r="J23">
        <f>IF($A23="","",IF($H23="FCS",IF(CLEAN!$S23="","",CLEAN!$S23),IF($H23="FBS",IF(ISNA(MATCH(CLEAN!$P23,'TEAM RATINGS'!$A$6:$A$143,0)),"",IF(INDEX('TEAM RATINGS'!$O$6:$O$143,MATCH(CLEAN!$P23,'TEAM RATINGS'!$A$6:$A$143,0))="","",INDEX('TEAM RATINGS'!$O$6:$O$143,MATCH(CLEAN!$P23,'TEAM RATINGS'!$A$6:$A$143,0)))),"")))</f>
        <v/>
      </c>
      <c r="K23">
        <f>IF(OR($I23="",$J23=""),"",$J23-$I23)</f>
        <v/>
      </c>
      <c r="L23">
        <f>IF($A23="","",IF($F23=1,SETTINGS!$B$7,IF($H23&lt;&gt;"FBS",SETTINGS!$B$6,IF(ISNA(MATCH(CLEAN!$P23,'TEAM RATINGS'!$A$6:$A$143,0)),SETTINGS!$B$6,INDEX('TEAM RATINGS'!$S$6:$S$143,MATCH(CLEAN!$P23,'TEAM RATINGS'!$A$6:$A$143,0))))))</f>
        <v/>
      </c>
      <c r="M23">
        <f>IF($A23="","",IF($H23&lt;&gt;"FBS",0,IF(ISNA(MATCH(CLEAN!$P23,'QB VALUES'!$A$6:$A$143,0)),0,IF(INDEX('QB VALUES'!$G$6:$G$143,MATCH(CLEAN!$P23,'QB VALUES'!$A$6:$A$143,0))="",0,INDEX('QB VALUES'!$G$6:$G$143,MATCH(CLEAN!$P23,'QB VALUES'!$A$6:$A$143,0)))))-IF($G23&lt;&gt;"FBS",0,IF(ISNA(MATCH(CLEAN!$N23,'QB VALUES'!$A$6:$A$143,0)),0,IF(INDEX('QB VALUES'!$G$6:$G$143,MATCH(CLEAN!$N23,'QB VALUES'!$A$6:$A$143,0))="",0,INDEX('QB VALUES'!$G$6:$G$143,MATCH(CLEAN!$N23,'QB VALUES'!$A$6:$A$143,0))))))</f>
        <v/>
      </c>
      <c r="N23">
        <f>IF($A23="","",SUMIFS(ADJUSTMENTS!$C$6:$C$255,ADJUSTMENTS!$A$6:$A$255,"TRAVEL/REST",ADJUSTMENTS!$B$6:$B$255,$A23,ADJUSTMENTS!$J$6:$J$255,1))</f>
        <v/>
      </c>
      <c r="O23">
        <f>IF($A23="","",SUMIFS(ADJUSTMENTS!$C$6:$C$255,ADJUSTMENTS!$A$6:$A$255,"GAME",ADJUSTMENTS!$B$6:$B$255,$A23,ADJUSTMENTS!$J$6:$J$255,1)+SUMIFS(ADJUSTMENTS!$C$6:$C$255,ADJUSTMENTS!$A$6:$A$255,"INJURY",ADJUSTMENTS!$B$6:$B$255,$A23,ADJUSTMENTS!$J$6:$J$255,1)+SUMIFS(ADJUSTMENTS!$C$6:$C$255,ADJUSTMENTS!$A$6:$A$255,"WEATHER",ADJUSTMENTS!$B$6:$B$255,$A23,ADJUSTMENTS!$J$6:$J$255,1)+SUMIFS(ADJUSTMENTS!$C$6:$C$255,ADJUSTMENTS!$A$6:$A$255,"QB",ADJUSTMENTS!$B$6:$B$255,$A23,ADJUSTMENTS!$J$6:$J$255,1)+IF(CLEAN!$P23="",0,SUMIFS(ADJUSTMENTS!$C$6:$C$255,ADJUSTMENTS!$A$6:$A$255,"TEAM TEMP",ADJUSTMENTS!$B$6:$B$255,CLEAN!$P23,ADJUSTMENTS!$J$6:$J$255,1))-IF(CLEAN!$N23="",0,SUMIFS(ADJUSTMENTS!$C$6:$C$255,ADJUSTMENTS!$A$6:$A$255,"TEAM TEMP",ADJUSTMENTS!$B$6:$B$255,CLEAN!$N23,ADJUSTMENTS!$J$6:$J$255,1)))</f>
        <v/>
      </c>
      <c r="P23">
        <f>IF($K23="","",$K23+$L23+$M23+$N23+$O23)</f>
        <v/>
      </c>
      <c r="Q23">
        <f>IF($A23="","",IF(COUNTIFS(ADJUSTMENTS!$A$6:$A$255,"MARGIN OVERRIDE",ADJUSTMENTS!$B$6:$B$255,$A23,ADJUSTMENTS!$J$6:$J$255,1)=1,SUMIFS(ADJUSTMENTS!$C$6:$C$255,ADJUSTMENTS!$A$6:$A$255,"MARGIN OVERRIDE",ADJUSTMENTS!$B$6:$B$255,$A23,ADJUSTMENTS!$J$6:$J$255,1),""))</f>
        <v/>
      </c>
      <c r="R23">
        <f>IF($A23="","",IF(ISNUMBER($Q23),$Q23,IF($P23="","",$P23)))</f>
        <v/>
      </c>
      <c r="S23">
        <f>IF(OR($A23="",$R23=""),"",IF($R23&gt;0,$E23&amp;" -"&amp;TEXT(ABS($R23),"0.0"),IF($R23&lt;0,$D23&amp;" -"&amp;TEXT(ABS($R23),"0.0"),"PICK")))</f>
        <v/>
      </c>
      <c r="T23">
        <f>IF($A23="","",CALC!$N23)</f>
        <v/>
      </c>
      <c r="V23">
        <f>IF(OR($R23="",$T23=""),"",$R23+$T23)</f>
        <v/>
      </c>
      <c r="W23">
        <f>IF($V23="","",IF($V23&gt;0,$E23,$D23))</f>
        <v/>
      </c>
      <c r="X23">
        <f>IF(OR($V23="",$AI23="BLOCKED",$AI23="PENDING LINE",$AI23="STALE LINE"),"",IF(ABS($V23)&lt;SETTINGS!$B$8,"",IF(ABS($V23)&lt;SETTINGS!$B$9,"LEAN",IF(OR(ABS($V23)&lt;SETTINGS!$B$10,SETTINGS!$B$11&lt;&gt;"Y",$AI23&lt;&gt;"READY",$AF23&lt;&gt;"",$AG23&lt;&gt;""),"INVESTIGATE","BET"))))</f>
        <v/>
      </c>
      <c r="Y23">
        <f>IF(OR($A23="",SETTINGS!$B$22="",SETTINGS!$B$23="",$G23&lt;&gt;"FBS",$H23&lt;&gt;"FBS",CALC!$T23="",CALC!$U23="",CALC!$V23="",CALC!$W23=""),"",SETTINGS!$B$22+(CALC!$T23+CALC!$V23-CALC!$U23-CALC!$W23)*SETTINGS!$B$23)</f>
        <v/>
      </c>
      <c r="Z23">
        <f>IF($A23="","",CALC!$O23)</f>
        <v/>
      </c>
      <c r="AA23">
        <f>IF(OR($Y23="",$Z23=""),"",$Y23-$Z23)</f>
        <v/>
      </c>
      <c r="AB23">
        <f>IF($AA23="","",IF(ABS($AA23)&lt;SETTINGS!$B$8*2,"",IF(ABS($AA23)&lt;SETTINGS!$B$9*2,"LEAN",IF(OR(SETTINGS!$B$11&lt;&gt;"Y",$AI23&lt;&gt;"READY",ABS($AA23)&lt;SETTINGS!$B$10*2,$AF23&lt;&gt;"",$AG23&lt;&gt;""),"INVESTIGATE","BET"))))</f>
        <v/>
      </c>
      <c r="AC23">
        <f>IF(OR($Y23="",$R23=""),"",($Y23+$R23)/2)</f>
        <v/>
      </c>
      <c r="AD23">
        <f>IF(OR($Y23="",$R23=""),"",($Y23-$R23)/2)</f>
        <v/>
      </c>
      <c r="AE23">
        <f>IF($A23="","",IF(OR(IF($G23&lt;&gt;"FBS",FALSE(),IF(ISNA(MATCH(CLEAN!$N23,'QB VALUES'!$A$6:$A$143,0)),TRUE(),INDEX('QB VALUES'!$M$6:$M$143,MATCH(CLEAN!$N23,'QB VALUES'!$A$6:$A$143,0))="UNCERTAIN")),IF($H23&lt;&gt;"FBS",FALSE(),IF(ISNA(MATCH(CLEAN!$P23,'QB VALUES'!$A$6:$A$143,0)),TRUE(),INDEX('QB VALUES'!$M$6:$M$143,MATCH(CLEAN!$P23,'QB VALUES'!$A$6:$A$143,0))="UNCERTAIN"))),"QB UNCERTAIN","OK"))</f>
        <v/>
      </c>
      <c r="AF23">
        <f>IF($A23="","",IF(IF($G23&lt;&gt;"FBS",0,IF(AND(INDEX('TEAM RATINGS'!$D$6:$D$143,MATCH(CLEAN!$N23,'TEAM RATINGS'!$A$6:$A$143,0))="Y",INDEX('TEAM RATINGS'!$X$6:$X$143,MATCH(CLEAN!$N23,'TEAM RATINGS'!$A$6:$A$143,0))&lt;&gt;"Y"),1,0))+IF($H23&lt;&gt;"FBS",0,IF(AND(INDEX('TEAM RATINGS'!$D$6:$D$143,MATCH(CLEAN!$P23,'TEAM RATINGS'!$A$6:$A$143,0))="Y",INDEX('TEAM RATINGS'!$X$6:$X$143,MATCH(CLEAN!$P23,'TEAM RATINGS'!$A$6:$A$143,0))&lt;&gt;"Y"),1,0))&gt;0,"TRANSITIONAL",""))</f>
        <v/>
      </c>
      <c r="AG23">
        <f>IF($A23="","",IF(OR($G23="FCS",$H23="FCS"),"FCS OPP",""))</f>
        <v/>
      </c>
      <c r="AH23">
        <f>IF($A23="","",IF(CLEAN!$M23&gt;1,"DUP GAMEID; ","")&amp;IF(OR($G23="BLOCK",$H23="BLOCK"),"TEAM NOT FOUND; ","")&amp;IF(AND($G23="FBS",$I23=""),"AWAY RATING MISSING; ","")&amp;IF(AND($H23="FBS",$J23=""),"HOME RATING MISSING; ","")&amp;IF(AND(CALC!$L23&lt;&gt;"",CALC!$M23&lt;&gt;"",CALC!$N23=""),"INVALID FAVORITE; ","")&amp;IF(CALC!$R23=1,"DUPLICATE MARKET ROW; ","")&amp;IF(COUNTIFS(ADJUSTMENTS!$A$6:$A$255,"MARGIN OVERRIDE",ADJUSTMENTS!$B$6:$B$255,$A23,ADJUSTMENTS!$J$6:$J$255,1)&gt;1,"DUPLICATE OVERRIDE; ",""))</f>
        <v/>
      </c>
      <c r="AI23">
        <f>IF($A23="","",IF($AH23&lt;&gt;"","BLOCKED",IF($AG23&lt;&gt;"","FCS — NO PLAY",IF(CALC!$S23=1,"PENDING LINE",IF(CALC!$Q23=1,"STALE LINE",IF($AE23="QB UNCERTAIN","QB UNCERTAIN",IF($AF23&lt;&gt;"","TRANSITION UNCERTAIN",IF(OR($B23="",$C23=""),"DATA INCOMPLETE","READY"))))))))</f>
        <v/>
      </c>
      <c r="AJ23">
        <f>IF(OR($AI23="",$AI23="BLOCKED",$AI23="PENDING LINE",$AI23="FCS — NO PLAY"),"",MAX(1,MIN(5,3-IF(CALC!$Z23&lt;SETTINGS!$B$24,1,0)-IF($AE23="QB UNCERTAIN",1,0)-IF($AF23&lt;&gt;"",1,0)-IF($AG23&lt;&gt;"",1,0)+IF(CALC!$Z23&gt;=6,1,0))))</f>
        <v/>
      </c>
      <c r="AK23">
        <f>IF($A23="","",IF(ISNUMBER($Q23),"MARGIN OVR; ","")&amp;IF($G23&lt;&gt;"FBS","",IF(INDEX('TEAM RATINGS'!$P$6:$P$143,MATCH(CLEAN!$N23,'TEAM RATINGS'!$A$6:$A$143,0))="OVERRIDE","AWAY RATING OVR; ",""))&amp;IF($H23&lt;&gt;"FBS","",IF(INDEX('TEAM RATINGS'!$P$6:$P$143,MATCH(CLEAN!$P23,'TEAM RATINGS'!$A$6:$A$143,0))="OVERRIDE","HOME RATING OVR; ","")))</f>
        <v/>
      </c>
    </row>
    <row r="24">
      <c r="A24">
        <f>IF(CLEAN!$A24="","",CLEAN!$A24)</f>
        <v/>
      </c>
      <c r="B24">
        <f>IF($A24="","",CLEAN!$C24)</f>
        <v/>
      </c>
      <c r="C24">
        <f>IF($A24="","",CLEAN!$D24)</f>
        <v/>
      </c>
      <c r="D24">
        <f>IF($A24="","",CLEAN!$AF24)</f>
        <v/>
      </c>
      <c r="E24">
        <f>IF($A24="","",CLEAN!$AG24)</f>
        <v/>
      </c>
      <c r="F24">
        <f>IF($A24="","",CLEAN!$E24)</f>
        <v/>
      </c>
      <c r="G24">
        <f>IF($A24="","",CLEAN!$O24)</f>
        <v/>
      </c>
      <c r="H24">
        <f>IF($A24="","",CLEAN!$Q24)</f>
        <v/>
      </c>
      <c r="I24">
        <f>IF($A24="","",IF($G24="FCS",IF(CLEAN!$R24="","",CLEAN!$R24),IF($G24="FBS",IF(ISNA(MATCH(CLEAN!$N24,'TEAM RATINGS'!$A$6:$A$143,0)),"",IF(INDEX('TEAM RATINGS'!$O$6:$O$143,MATCH(CLEAN!$N24,'TEAM RATINGS'!$A$6:$A$143,0))="","",INDEX('TEAM RATINGS'!$O$6:$O$143,MATCH(CLEAN!$N24,'TEAM RATINGS'!$A$6:$A$143,0)))),"")))</f>
        <v/>
      </c>
      <c r="J24">
        <f>IF($A24="","",IF($H24="FCS",IF(CLEAN!$S24="","",CLEAN!$S24),IF($H24="FBS",IF(ISNA(MATCH(CLEAN!$P24,'TEAM RATINGS'!$A$6:$A$143,0)),"",IF(INDEX('TEAM RATINGS'!$O$6:$O$143,MATCH(CLEAN!$P24,'TEAM RATINGS'!$A$6:$A$143,0))="","",INDEX('TEAM RATINGS'!$O$6:$O$143,MATCH(CLEAN!$P24,'TEAM RATINGS'!$A$6:$A$143,0)))),"")))</f>
        <v/>
      </c>
      <c r="K24">
        <f>IF(OR($I24="",$J24=""),"",$J24-$I24)</f>
        <v/>
      </c>
      <c r="L24">
        <f>IF($A24="","",IF($F24=1,SETTINGS!$B$7,IF($H24&lt;&gt;"FBS",SETTINGS!$B$6,IF(ISNA(MATCH(CLEAN!$P24,'TEAM RATINGS'!$A$6:$A$143,0)),SETTINGS!$B$6,INDEX('TEAM RATINGS'!$S$6:$S$143,MATCH(CLEAN!$P24,'TEAM RATINGS'!$A$6:$A$143,0))))))</f>
        <v/>
      </c>
      <c r="M24">
        <f>IF($A24="","",IF($H24&lt;&gt;"FBS",0,IF(ISNA(MATCH(CLEAN!$P24,'QB VALUES'!$A$6:$A$143,0)),0,IF(INDEX('QB VALUES'!$G$6:$G$143,MATCH(CLEAN!$P24,'QB VALUES'!$A$6:$A$143,0))="",0,INDEX('QB VALUES'!$G$6:$G$143,MATCH(CLEAN!$P24,'QB VALUES'!$A$6:$A$143,0)))))-IF($G24&lt;&gt;"FBS",0,IF(ISNA(MATCH(CLEAN!$N24,'QB VALUES'!$A$6:$A$143,0)),0,IF(INDEX('QB VALUES'!$G$6:$G$143,MATCH(CLEAN!$N24,'QB VALUES'!$A$6:$A$143,0))="",0,INDEX('QB VALUES'!$G$6:$G$143,MATCH(CLEAN!$N24,'QB VALUES'!$A$6:$A$143,0))))))</f>
        <v/>
      </c>
      <c r="N24">
        <f>IF($A24="","",SUMIFS(ADJUSTMENTS!$C$6:$C$255,ADJUSTMENTS!$A$6:$A$255,"TRAVEL/REST",ADJUSTMENTS!$B$6:$B$255,$A24,ADJUSTMENTS!$J$6:$J$255,1))</f>
        <v/>
      </c>
      <c r="O24">
        <f>IF($A24="","",SUMIFS(ADJUSTMENTS!$C$6:$C$255,ADJUSTMENTS!$A$6:$A$255,"GAME",ADJUSTMENTS!$B$6:$B$255,$A24,ADJUSTMENTS!$J$6:$J$255,1)+SUMIFS(ADJUSTMENTS!$C$6:$C$255,ADJUSTMENTS!$A$6:$A$255,"INJURY",ADJUSTMENTS!$B$6:$B$255,$A24,ADJUSTMENTS!$J$6:$J$255,1)+SUMIFS(ADJUSTMENTS!$C$6:$C$255,ADJUSTMENTS!$A$6:$A$255,"WEATHER",ADJUSTMENTS!$B$6:$B$255,$A24,ADJUSTMENTS!$J$6:$J$255,1)+SUMIFS(ADJUSTMENTS!$C$6:$C$255,ADJUSTMENTS!$A$6:$A$255,"QB",ADJUSTMENTS!$B$6:$B$255,$A24,ADJUSTMENTS!$J$6:$J$255,1)+IF(CLEAN!$P24="",0,SUMIFS(ADJUSTMENTS!$C$6:$C$255,ADJUSTMENTS!$A$6:$A$255,"TEAM TEMP",ADJUSTMENTS!$B$6:$B$255,CLEAN!$P24,ADJUSTMENTS!$J$6:$J$255,1))-IF(CLEAN!$N24="",0,SUMIFS(ADJUSTMENTS!$C$6:$C$255,ADJUSTMENTS!$A$6:$A$255,"TEAM TEMP",ADJUSTMENTS!$B$6:$B$255,CLEAN!$N24,ADJUSTMENTS!$J$6:$J$255,1)))</f>
        <v/>
      </c>
      <c r="P24">
        <f>IF($K24="","",$K24+$L24+$M24+$N24+$O24)</f>
        <v/>
      </c>
      <c r="Q24">
        <f>IF($A24="","",IF(COUNTIFS(ADJUSTMENTS!$A$6:$A$255,"MARGIN OVERRIDE",ADJUSTMENTS!$B$6:$B$255,$A24,ADJUSTMENTS!$J$6:$J$255,1)=1,SUMIFS(ADJUSTMENTS!$C$6:$C$255,ADJUSTMENTS!$A$6:$A$255,"MARGIN OVERRIDE",ADJUSTMENTS!$B$6:$B$255,$A24,ADJUSTMENTS!$J$6:$J$255,1),""))</f>
        <v/>
      </c>
      <c r="R24">
        <f>IF($A24="","",IF(ISNUMBER($Q24),$Q24,IF($P24="","",$P24)))</f>
        <v/>
      </c>
      <c r="S24">
        <f>IF(OR($A24="",$R24=""),"",IF($R24&gt;0,$E24&amp;" -"&amp;TEXT(ABS($R24),"0.0"),IF($R24&lt;0,$D24&amp;" -"&amp;TEXT(ABS($R24),"0.0"),"PICK")))</f>
        <v/>
      </c>
      <c r="T24">
        <f>IF($A24="","",CALC!$N24)</f>
        <v/>
      </c>
      <c r="V24">
        <f>IF(OR($R24="",$T24=""),"",$R24+$T24)</f>
        <v/>
      </c>
      <c r="W24">
        <f>IF($V24="","",IF($V24&gt;0,$E24,$D24))</f>
        <v/>
      </c>
      <c r="X24">
        <f>IF(OR($V24="",$AI24="BLOCKED",$AI24="PENDING LINE",$AI24="STALE LINE"),"",IF(ABS($V24)&lt;SETTINGS!$B$8,"",IF(ABS($V24)&lt;SETTINGS!$B$9,"LEAN",IF(OR(ABS($V24)&lt;SETTINGS!$B$10,SETTINGS!$B$11&lt;&gt;"Y",$AI24&lt;&gt;"READY",$AF24&lt;&gt;"",$AG24&lt;&gt;""),"INVESTIGATE","BET"))))</f>
        <v/>
      </c>
      <c r="Y24">
        <f>IF(OR($A24="",SETTINGS!$B$22="",SETTINGS!$B$23="",$G24&lt;&gt;"FBS",$H24&lt;&gt;"FBS",CALC!$T24="",CALC!$U24="",CALC!$V24="",CALC!$W24=""),"",SETTINGS!$B$22+(CALC!$T24+CALC!$V24-CALC!$U24-CALC!$W24)*SETTINGS!$B$23)</f>
        <v/>
      </c>
      <c r="Z24">
        <f>IF($A24="","",CALC!$O24)</f>
        <v/>
      </c>
      <c r="AA24">
        <f>IF(OR($Y24="",$Z24=""),"",$Y24-$Z24)</f>
        <v/>
      </c>
      <c r="AB24">
        <f>IF($AA24="","",IF(ABS($AA24)&lt;SETTINGS!$B$8*2,"",IF(ABS($AA24)&lt;SETTINGS!$B$9*2,"LEAN",IF(OR(SETTINGS!$B$11&lt;&gt;"Y",$AI24&lt;&gt;"READY",ABS($AA24)&lt;SETTINGS!$B$10*2,$AF24&lt;&gt;"",$AG24&lt;&gt;""),"INVESTIGATE","BET"))))</f>
        <v/>
      </c>
      <c r="AC24">
        <f>IF(OR($Y24="",$R24=""),"",($Y24+$R24)/2)</f>
        <v/>
      </c>
      <c r="AD24">
        <f>IF(OR($Y24="",$R24=""),"",($Y24-$R24)/2)</f>
        <v/>
      </c>
      <c r="AE24">
        <f>IF($A24="","",IF(OR(IF($G24&lt;&gt;"FBS",FALSE(),IF(ISNA(MATCH(CLEAN!$N24,'QB VALUES'!$A$6:$A$143,0)),TRUE(),INDEX('QB VALUES'!$M$6:$M$143,MATCH(CLEAN!$N24,'QB VALUES'!$A$6:$A$143,0))="UNCERTAIN")),IF($H24&lt;&gt;"FBS",FALSE(),IF(ISNA(MATCH(CLEAN!$P24,'QB VALUES'!$A$6:$A$143,0)),TRUE(),INDEX('QB VALUES'!$M$6:$M$143,MATCH(CLEAN!$P24,'QB VALUES'!$A$6:$A$143,0))="UNCERTAIN"))),"QB UNCERTAIN","OK"))</f>
        <v/>
      </c>
      <c r="AF24">
        <f>IF($A24="","",IF(IF($G24&lt;&gt;"FBS",0,IF(AND(INDEX('TEAM RATINGS'!$D$6:$D$143,MATCH(CLEAN!$N24,'TEAM RATINGS'!$A$6:$A$143,0))="Y",INDEX('TEAM RATINGS'!$X$6:$X$143,MATCH(CLEAN!$N24,'TEAM RATINGS'!$A$6:$A$143,0))&lt;&gt;"Y"),1,0))+IF($H24&lt;&gt;"FBS",0,IF(AND(INDEX('TEAM RATINGS'!$D$6:$D$143,MATCH(CLEAN!$P24,'TEAM RATINGS'!$A$6:$A$143,0))="Y",INDEX('TEAM RATINGS'!$X$6:$X$143,MATCH(CLEAN!$P24,'TEAM RATINGS'!$A$6:$A$143,0))&lt;&gt;"Y"),1,0))&gt;0,"TRANSITIONAL",""))</f>
        <v/>
      </c>
      <c r="AG24">
        <f>IF($A24="","",IF(OR($G24="FCS",$H24="FCS"),"FCS OPP",""))</f>
        <v/>
      </c>
      <c r="AH24">
        <f>IF($A24="","",IF(CLEAN!$M24&gt;1,"DUP GAMEID; ","")&amp;IF(OR($G24="BLOCK",$H24="BLOCK"),"TEAM NOT FOUND; ","")&amp;IF(AND($G24="FBS",$I24=""),"AWAY RATING MISSING; ","")&amp;IF(AND($H24="FBS",$J24=""),"HOME RATING MISSING; ","")&amp;IF(AND(CALC!$L24&lt;&gt;"",CALC!$M24&lt;&gt;"",CALC!$N24=""),"INVALID FAVORITE; ","")&amp;IF(CALC!$R24=1,"DUPLICATE MARKET ROW; ","")&amp;IF(COUNTIFS(ADJUSTMENTS!$A$6:$A$255,"MARGIN OVERRIDE",ADJUSTMENTS!$B$6:$B$255,$A24,ADJUSTMENTS!$J$6:$J$255,1)&gt;1,"DUPLICATE OVERRIDE; ",""))</f>
        <v/>
      </c>
      <c r="AI24">
        <f>IF($A24="","",IF($AH24&lt;&gt;"","BLOCKED",IF($AG24&lt;&gt;"","FCS — NO PLAY",IF(CALC!$S24=1,"PENDING LINE",IF(CALC!$Q24=1,"STALE LINE",IF($AE24="QB UNCERTAIN","QB UNCERTAIN",IF($AF24&lt;&gt;"","TRANSITION UNCERTAIN",IF(OR($B24="",$C24=""),"DATA INCOMPLETE","READY"))))))))</f>
        <v/>
      </c>
      <c r="AJ24">
        <f>IF(OR($AI24="",$AI24="BLOCKED",$AI24="PENDING LINE",$AI24="FCS — NO PLAY"),"",MAX(1,MIN(5,3-IF(CALC!$Z24&lt;SETTINGS!$B$24,1,0)-IF($AE24="QB UNCERTAIN",1,0)-IF($AF24&lt;&gt;"",1,0)-IF($AG24&lt;&gt;"",1,0)+IF(CALC!$Z24&gt;=6,1,0))))</f>
        <v/>
      </c>
      <c r="AK24">
        <f>IF($A24="","",IF(ISNUMBER($Q24),"MARGIN OVR; ","")&amp;IF($G24&lt;&gt;"FBS","",IF(INDEX('TEAM RATINGS'!$P$6:$P$143,MATCH(CLEAN!$N24,'TEAM RATINGS'!$A$6:$A$143,0))="OVERRIDE","AWAY RATING OVR; ",""))&amp;IF($H24&lt;&gt;"FBS","",IF(INDEX('TEAM RATINGS'!$P$6:$P$143,MATCH(CLEAN!$P24,'TEAM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A11" t="inlineStr">
        <is>
          <t>401864577</t>
        </is>
      </c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C11" t="inlineStr">
        <is>
          <t>NDSU</t>
        </is>
      </c>
      <c r="D11" t="n">
        <v>0.5</v>
      </c>
      <c r="E11" t="n">
        <v>45</v>
      </c>
      <c r="F11" t="inlineStr">
        <is>
          <t>TEST ONLY — NOT REAL DATA</t>
        </is>
      </c>
      <c r="G11" s="2" t="n">
        <v>46304</v>
      </c>
      <c r="H11" t="inlineStr">
        <is>
          <t>TEST ONLY — NOT REAL DATA: NDSU functional-restriction test</t>
        </is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  <c r="K20">
        <f>IF(CLEAN!$A20="","",CLEAN!$A20)</f>
        <v/>
      </c>
      <c r="L20">
        <f>IF($K20="","",IF(ISNA(MATCH($K20,'MARKET LINES'!$A$6:$A$1005,0)),"",MATCH($K20,'MARKET LINES'!$A$6:$A$1005,0)))</f>
        <v/>
      </c>
      <c r="M20">
        <f>IF($L20="","",IF(INDEX('MARKET LINES'!$O$6:$O$1005,$L20)="","",INDEX('MARKET LINES'!$O$6:$O$1005,$L20)))</f>
        <v/>
      </c>
      <c r="N20">
        <f>IF(OR($L20="",$M20=""),"",IF(INDEX('MARKET LINES'!$D$6:$D$1005,$L20)="","",IF($M20=CLEAN!$AG20,-INDEX('MARKET LINES'!$D$6:$D$1005,$L20),IF($M20=CLEAN!$AF20,INDEX('MARKET LINES'!$D$6:$D$1005,$L20),""))))</f>
        <v/>
      </c>
      <c r="O20">
        <f>IF($L20="","",IF(INDEX('MARKET LINES'!$E$6:$E$1005,$L20)="","",INDEX('MARKET LINES'!$E$6:$E$1005,$L20)))</f>
        <v/>
      </c>
      <c r="P20">
        <f>IF($L20="","",IF(INDEX('MARKET LINES'!$G$6:$G$1005,$L20)="","",INDEX('MARKET LINES'!$G$6:$G$1005,$L20)))</f>
        <v/>
      </c>
      <c r="Q20">
        <f>IF(OR($L20="",$P20="",SETTINGS!$B$5=""),0,IF(SETTINGS!$B$5-$P20&gt;SETTINGS!$B$13,1,0))</f>
        <v/>
      </c>
      <c r="R20">
        <f>IF($K20="",0,IF(COUNTIF('MARKET LINES'!$A$6:$A$1005,$K20)&gt;1,1,0))</f>
        <v/>
      </c>
      <c r="S20">
        <f>IF($K20="",0,IF($L20="",1,IF(INDEX('MARKET LINES'!$D$6:$D$1005,$L20)="",1,0)))</f>
        <v/>
      </c>
      <c r="T20">
        <f>IF(CLEAN!$N20="","",IF(ISNA(MATCH(CLEAN!$N20,$A$6:$A$143,0)),"",IF(INDEX($E$6:$E$143,MATCH(CLEAN!$N20,$A$6:$A$143,0))="","",INDEX($E$6:$E$143,MATCH(CLEAN!$N20,$A$6:$A$143,0)))))</f>
        <v/>
      </c>
      <c r="U20">
        <f>IF(CLEAN!$N20="","",IF(ISNA(MATCH(CLEAN!$N20,$A$6:$A$143,0)),"",IF(INDEX($F$6:$F$143,MATCH(CLEAN!$N20,$A$6:$A$143,0))="","",INDEX($F$6:$F$143,MATCH(CLEAN!$N20,$A$6:$A$143,0)))))</f>
        <v/>
      </c>
      <c r="V20">
        <f>IF(CLEAN!$P20="","",IF(ISNA(MATCH(CLEAN!$P20,$A$6:$A$143,0)),"",IF(INDEX($E$6:$E$143,MATCH(CLEAN!$P20,$A$6:$A$143,0))="","",INDEX($E$6:$E$143,MATCH(CLEAN!$P20,$A$6:$A$143,0)))))</f>
        <v/>
      </c>
      <c r="W20">
        <f>IF(CLEAN!$P20="","",IF(ISNA(MATCH(CLEAN!$P20,$A$6:$A$143,0)),"",IF(INDEX($F$6:$F$143,MATCH(CLEAN!$P20,$A$6:$A$143,0))="","",INDEX($F$6:$F$143,MATCH(CLEAN!$P20,$A$6:$A$143,0)))))</f>
        <v/>
      </c>
      <c r="X20">
        <f>IF($K20="","",IF(CLEAN!$O20&lt;&gt;"FBS",0,IF(ISNA(MATCH(CLEAN!$N20,'TEAM RATINGS'!$A$6:$A$143,0)),0,IF(INDEX('TEAM RATINGS'!$F$6:$F$143,MATCH(CLEAN!$N20,'TEAM RATINGS'!$A$6:$A$143,0))="",0,INDEX('TEAM RATINGS'!$F$6:$F$143,MATCH(CLEAN!$N20,'TEAM RATINGS'!$A$6:$A$143,0))))))</f>
        <v/>
      </c>
      <c r="Y20">
        <f>IF($K20="","",IF(CLEAN!$Q20&lt;&gt;"FBS",0,IF(ISNA(MATCH(CLEAN!$P20,'TEAM RATINGS'!$A$6:$A$143,0)),0,IF(INDEX('TEAM RATINGS'!$F$6:$F$143,MATCH(CLEAN!$P20,'TEAM RATINGS'!$A$6:$A$143,0))="",0,INDEX('TEAM RATINGS'!$F$6:$F$143,MATCH(CLEAN!$P20,'TEAM RATINGS'!$A$6:$A$143,0))))))</f>
        <v/>
      </c>
      <c r="Z20">
        <f>IF($K20="","",MIN(IF($X20="",0,$X20),IF($Y20="",0,$Y20)))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  <c r="K21">
        <f>IF(CLEAN!$A21="","",CLEAN!$A21)</f>
        <v/>
      </c>
      <c r="L21">
        <f>IF($K21="","",IF(ISNA(MATCH($K21,'MARKET LINES'!$A$6:$A$1005,0)),"",MATCH($K21,'MARKET LINES'!$A$6:$A$1005,0)))</f>
        <v/>
      </c>
      <c r="M21">
        <f>IF($L21="","",IF(INDEX('MARKET LINES'!$O$6:$O$1005,$L21)="","",INDEX('MARKET LINES'!$O$6:$O$1005,$L21)))</f>
        <v/>
      </c>
      <c r="N21">
        <f>IF(OR($L21="",$M21=""),"",IF(INDEX('MARKET LINES'!$D$6:$D$1005,$L21)="","",IF($M21=CLEAN!$AG21,-INDEX('MARKET LINES'!$D$6:$D$1005,$L21),IF($M21=CLEAN!$AF21,INDEX('MARKET LINES'!$D$6:$D$1005,$L21),""))))</f>
        <v/>
      </c>
      <c r="O21">
        <f>IF($L21="","",IF(INDEX('MARKET LINES'!$E$6:$E$1005,$L21)="","",INDEX('MARKET LINES'!$E$6:$E$1005,$L21)))</f>
        <v/>
      </c>
      <c r="P21">
        <f>IF($L21="","",IF(INDEX('MARKET LINES'!$G$6:$G$1005,$L21)="","",INDEX('MARKET LINES'!$G$6:$G$1005,$L21)))</f>
        <v/>
      </c>
      <c r="Q21">
        <f>IF(OR($L21="",$P21="",SETTINGS!$B$5=""),0,IF(SETTINGS!$B$5-$P21&gt;SETTINGS!$B$13,1,0))</f>
        <v/>
      </c>
      <c r="R21">
        <f>IF($K21="",0,IF(COUNTIF('MARKET LINES'!$A$6:$A$1005,$K21)&gt;1,1,0))</f>
        <v/>
      </c>
      <c r="S21">
        <f>IF($K21="",0,IF($L21="",1,IF(INDEX('MARKET LINES'!$D$6:$D$1005,$L21)="",1,0)))</f>
        <v/>
      </c>
      <c r="T21">
        <f>IF(CLEAN!$N21="","",IF(ISNA(MATCH(CLEAN!$N21,$A$6:$A$143,0)),"",IF(INDEX($E$6:$E$143,MATCH(CLEAN!$N21,$A$6:$A$143,0))="","",INDEX($E$6:$E$143,MATCH(CLEAN!$N21,$A$6:$A$143,0)))))</f>
        <v/>
      </c>
      <c r="U21">
        <f>IF(CLEAN!$N21="","",IF(ISNA(MATCH(CLEAN!$N21,$A$6:$A$143,0)),"",IF(INDEX($F$6:$F$143,MATCH(CLEAN!$N21,$A$6:$A$143,0))="","",INDEX($F$6:$F$143,MATCH(CLEAN!$N21,$A$6:$A$143,0)))))</f>
        <v/>
      </c>
      <c r="V21">
        <f>IF(CLEAN!$P21="","",IF(ISNA(MATCH(CLEAN!$P21,$A$6:$A$143,0)),"",IF(INDEX($E$6:$E$143,MATCH(CLEAN!$P21,$A$6:$A$143,0))="","",INDEX($E$6:$E$143,MATCH(CLEAN!$P21,$A$6:$A$143,0)))))</f>
        <v/>
      </c>
      <c r="W21">
        <f>IF(CLEAN!$P21="","",IF(ISNA(MATCH(CLEAN!$P21,$A$6:$A$143,0)),"",IF(INDEX($F$6:$F$143,MATCH(CLEAN!$P21,$A$6:$A$143,0))="","",INDEX($F$6:$F$143,MATCH(CLEAN!$P21,$A$6:$A$143,0)))))</f>
        <v/>
      </c>
      <c r="X21">
        <f>IF($K21="","",IF(CLEAN!$O21&lt;&gt;"FBS",0,IF(ISNA(MATCH(CLEAN!$N21,'TEAM RATINGS'!$A$6:$A$143,0)),0,IF(INDEX('TEAM RATINGS'!$F$6:$F$143,MATCH(CLEAN!$N21,'TEAM RATINGS'!$A$6:$A$143,0))="",0,INDEX('TEAM RATINGS'!$F$6:$F$143,MATCH(CLEAN!$N21,'TEAM RATINGS'!$A$6:$A$143,0))))))</f>
        <v/>
      </c>
      <c r="Y21">
        <f>IF($K21="","",IF(CLEAN!$Q21&lt;&gt;"FBS",0,IF(ISNA(MATCH(CLEAN!$P21,'TEAM RATINGS'!$A$6:$A$143,0)),0,IF(INDEX('TEAM RATINGS'!$F$6:$F$143,MATCH(CLEAN!$P21,'TEAM RATINGS'!$A$6:$A$143,0))="",0,INDEX('TEAM RATINGS'!$F$6:$F$143,MATCH(CLEAN!$P21,'TEAM RATINGS'!$A$6:$A$143,0))))))</f>
        <v/>
      </c>
      <c r="Z21">
        <f>IF($K21="","",MIN(IF($X21="",0,$X21),IF($Y21="",0,$Y21)))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  <c r="K22">
        <f>IF(CLEAN!$A22="","",CLEAN!$A22)</f>
        <v/>
      </c>
      <c r="L22">
        <f>IF($K22="","",IF(ISNA(MATCH($K22,'MARKET LINES'!$A$6:$A$1005,0)),"",MATCH($K22,'MARKET LINES'!$A$6:$A$1005,0)))</f>
        <v/>
      </c>
      <c r="M22">
        <f>IF($L22="","",IF(INDEX('MARKET LINES'!$O$6:$O$1005,$L22)="","",INDEX('MARKET LINES'!$O$6:$O$1005,$L22)))</f>
        <v/>
      </c>
      <c r="N22">
        <f>IF(OR($L22="",$M22=""),"",IF(INDEX('MARKET LINES'!$D$6:$D$1005,$L22)="","",IF($M22=CLEAN!$AG22,-INDEX('MARKET LINES'!$D$6:$D$1005,$L22),IF($M22=CLEAN!$AF22,INDEX('MARKET LINES'!$D$6:$D$1005,$L22),""))))</f>
        <v/>
      </c>
      <c r="O22">
        <f>IF($L22="","",IF(INDEX('MARKET LINES'!$E$6:$E$1005,$L22)="","",INDEX('MARKET LINES'!$E$6:$E$1005,$L22)))</f>
        <v/>
      </c>
      <c r="P22">
        <f>IF($L22="","",IF(INDEX('MARKET LINES'!$G$6:$G$1005,$L22)="","",INDEX('MARKET LINES'!$G$6:$G$1005,$L22)))</f>
        <v/>
      </c>
      <c r="Q22">
        <f>IF(OR($L22="",$P22="",SETTINGS!$B$5=""),0,IF(SETTINGS!$B$5-$P22&gt;SETTINGS!$B$13,1,0))</f>
        <v/>
      </c>
      <c r="R22">
        <f>IF($K22="",0,IF(COUNTIF('MARKET LINES'!$A$6:$A$1005,$K22)&gt;1,1,0))</f>
        <v/>
      </c>
      <c r="S22">
        <f>IF($K22="",0,IF($L22="",1,IF(INDEX('MARKET LINES'!$D$6:$D$1005,$L22)="",1,0)))</f>
        <v/>
      </c>
      <c r="T22">
        <f>IF(CLEAN!$N22="","",IF(ISNA(MATCH(CLEAN!$N22,$A$6:$A$143,0)),"",IF(INDEX($E$6:$E$143,MATCH(CLEAN!$N22,$A$6:$A$143,0))="","",INDEX($E$6:$E$143,MATCH(CLEAN!$N22,$A$6:$A$143,0)))))</f>
        <v/>
      </c>
      <c r="U22">
        <f>IF(CLEAN!$N22="","",IF(ISNA(MATCH(CLEAN!$N22,$A$6:$A$143,0)),"",IF(INDEX($F$6:$F$143,MATCH(CLEAN!$N22,$A$6:$A$143,0))="","",INDEX($F$6:$F$143,MATCH(CLEAN!$N22,$A$6:$A$143,0)))))</f>
        <v/>
      </c>
      <c r="V22">
        <f>IF(CLEAN!$P22="","",IF(ISNA(MATCH(CLEAN!$P22,$A$6:$A$143,0)),"",IF(INDEX($E$6:$E$143,MATCH(CLEAN!$P22,$A$6:$A$143,0))="","",INDEX($E$6:$E$143,MATCH(CLEAN!$P22,$A$6:$A$143,0)))))</f>
        <v/>
      </c>
      <c r="W22">
        <f>IF(CLEAN!$P22="","",IF(ISNA(MATCH(CLEAN!$P22,$A$6:$A$143,0)),"",IF(INDEX($F$6:$F$143,MATCH(CLEAN!$P22,$A$6:$A$143,0))="","",INDEX($F$6:$F$143,MATCH(CLEAN!$P22,$A$6:$A$143,0)))))</f>
        <v/>
      </c>
      <c r="X22">
        <f>IF($K22="","",IF(CLEAN!$O22&lt;&gt;"FBS",0,IF(ISNA(MATCH(CLEAN!$N22,'TEAM RATINGS'!$A$6:$A$143,0)),0,IF(INDEX('TEAM RATINGS'!$F$6:$F$143,MATCH(CLEAN!$N22,'TEAM RATINGS'!$A$6:$A$143,0))="",0,INDEX('TEAM RATINGS'!$F$6:$F$143,MATCH(CLEAN!$N22,'TEAM RATINGS'!$A$6:$A$143,0))))))</f>
        <v/>
      </c>
      <c r="Y22">
        <f>IF($K22="","",IF(CLEAN!$Q22&lt;&gt;"FBS",0,IF(ISNA(MATCH(CLEAN!$P22,'TEAM RATINGS'!$A$6:$A$143,0)),0,IF(INDEX('TEAM RATINGS'!$F$6:$F$143,MATCH(CLEAN!$P22,'TEAM RATINGS'!$A$6:$A$143,0))="",0,INDEX('TEAM RATINGS'!$F$6:$F$143,MATCH(CLEAN!$P22,'TEAM RATINGS'!$A$6:$A$143,0))))))</f>
        <v/>
      </c>
      <c r="Z22">
        <f>IF($K22="","",MIN(IF($X22="",0,$X22),IF($Y22="",0,$Y22)))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  <c r="K23">
        <f>IF(CLEAN!$A23="","",CLEAN!$A23)</f>
        <v/>
      </c>
      <c r="L23">
        <f>IF($K23="","",IF(ISNA(MATCH($K23,'MARKET LINES'!$A$6:$A$1005,0)),"",MATCH($K23,'MARKET LINES'!$A$6:$A$1005,0)))</f>
        <v/>
      </c>
      <c r="M23">
        <f>IF($L23="","",IF(INDEX('MARKET LINES'!$O$6:$O$1005,$L23)="","",INDEX('MARKET LINES'!$O$6:$O$1005,$L23)))</f>
        <v/>
      </c>
      <c r="N23">
        <f>IF(OR($L23="",$M23=""),"",IF(INDEX('MARKET LINES'!$D$6:$D$1005,$L23)="","",IF($M23=CLEAN!$AG23,-INDEX('MARKET LINES'!$D$6:$D$1005,$L23),IF($M23=CLEAN!$AF23,INDEX('MARKET LINES'!$D$6:$D$1005,$L23),""))))</f>
        <v/>
      </c>
      <c r="O23">
        <f>IF($L23="","",IF(INDEX('MARKET LINES'!$E$6:$E$1005,$L23)="","",INDEX('MARKET LINES'!$E$6:$E$1005,$L23)))</f>
        <v/>
      </c>
      <c r="P23">
        <f>IF($L23="","",IF(INDEX('MARKET LINES'!$G$6:$G$1005,$L23)="","",INDEX('MARKET LINES'!$G$6:$G$1005,$L23)))</f>
        <v/>
      </c>
      <c r="Q23">
        <f>IF(OR($L23="",$P23="",SETTINGS!$B$5=""),0,IF(SETTINGS!$B$5-$P23&gt;SETTINGS!$B$13,1,0))</f>
        <v/>
      </c>
      <c r="R23">
        <f>IF($K23="",0,IF(COUNTIF('MARKET LINES'!$A$6:$A$1005,$K23)&gt;1,1,0))</f>
        <v/>
      </c>
      <c r="S23">
        <f>IF($K23="",0,IF($L23="",1,IF(INDEX('MARKET LINES'!$D$6:$D$1005,$L23)="",1,0)))</f>
        <v/>
      </c>
      <c r="T23">
        <f>IF(CLEAN!$N23="","",IF(ISNA(MATCH(CLEAN!$N23,$A$6:$A$143,0)),"",IF(INDEX($E$6:$E$143,MATCH(CLEAN!$N23,$A$6:$A$143,0))="","",INDEX($E$6:$E$143,MATCH(CLEAN!$N23,$A$6:$A$143,0)))))</f>
        <v/>
      </c>
      <c r="U23">
        <f>IF(CLEAN!$N23="","",IF(ISNA(MATCH(CLEAN!$N23,$A$6:$A$143,0)),"",IF(INDEX($F$6:$F$143,MATCH(CLEAN!$N23,$A$6:$A$143,0))="","",INDEX($F$6:$F$143,MATCH(CLEAN!$N23,$A$6:$A$143,0)))))</f>
        <v/>
      </c>
      <c r="V23">
        <f>IF(CLEAN!$P23="","",IF(ISNA(MATCH(CLEAN!$P23,$A$6:$A$143,0)),"",IF(INDEX($E$6:$E$143,MATCH(CLEAN!$P23,$A$6:$A$143,0))="","",INDEX($E$6:$E$143,MATCH(CLEAN!$P23,$A$6:$A$143,0)))))</f>
        <v/>
      </c>
      <c r="W23">
        <f>IF(CLEAN!$P23="","",IF(ISNA(MATCH(CLEAN!$P23,$A$6:$A$143,0)),"",IF(INDEX($F$6:$F$143,MATCH(CLEAN!$P23,$A$6:$A$143,0))="","",INDEX($F$6:$F$143,MATCH(CLEAN!$P23,$A$6:$A$143,0)))))</f>
        <v/>
      </c>
      <c r="X23">
        <f>IF($K23="","",IF(CLEAN!$O23&lt;&gt;"FBS",0,IF(ISNA(MATCH(CLEAN!$N23,'TEAM RATINGS'!$A$6:$A$143,0)),0,IF(INDEX('TEAM RATINGS'!$F$6:$F$143,MATCH(CLEAN!$N23,'TEAM RATINGS'!$A$6:$A$143,0))="",0,INDEX('TEAM RATINGS'!$F$6:$F$143,MATCH(CLEAN!$N23,'TEAM RATINGS'!$A$6:$A$143,0))))))</f>
        <v/>
      </c>
      <c r="Y23">
        <f>IF($K23="","",IF(CLEAN!$Q23&lt;&gt;"FBS",0,IF(ISNA(MATCH(CLEAN!$P23,'TEAM RATINGS'!$A$6:$A$143,0)),0,IF(INDEX('TEAM RATINGS'!$F$6:$F$143,MATCH(CLEAN!$P23,'TEAM RATINGS'!$A$6:$A$143,0))="",0,INDEX('TEAM RATINGS'!$F$6:$F$143,MATCH(CLEAN!$P23,'TEAM RATINGS'!$A$6:$A$143,0))))))</f>
        <v/>
      </c>
      <c r="Z23">
        <f>IF($K23="","",MIN(IF($X23="",0,$X23),IF($Y23="",0,$Y23)))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  <c r="K24">
        <f>IF(CLEAN!$A24="","",CLEAN!$A24)</f>
        <v/>
      </c>
      <c r="L24">
        <f>IF($K24="","",IF(ISNA(MATCH($K24,'MARKET LINES'!$A$6:$A$1005,0)),"",MATCH($K24,'MARKET LINES'!$A$6:$A$1005,0)))</f>
        <v/>
      </c>
      <c r="M24">
        <f>IF($L24="","",IF(INDEX('MARKET LINES'!$O$6:$O$1005,$L24)="","",INDEX('MARKET LINES'!$O$6:$O$1005,$L24)))</f>
        <v/>
      </c>
      <c r="N24">
        <f>IF(OR($L24="",$M24=""),"",IF(INDEX('MARKET LINES'!$D$6:$D$1005,$L24)="","",IF($M24=CLEAN!$AG24,-INDEX('MARKET LINES'!$D$6:$D$1005,$L24),IF($M24=CLEAN!$AF24,INDEX('MARKET LINES'!$D$6:$D$1005,$L24),""))))</f>
        <v/>
      </c>
      <c r="O24">
        <f>IF($L24="","",IF(INDEX('MARKET LINES'!$E$6:$E$1005,$L24)="","",INDEX('MARKET LINES'!$E$6:$E$1005,$L24)))</f>
        <v/>
      </c>
      <c r="P24">
        <f>IF($L24="","",IF(INDEX('MARKET LINES'!$G$6:$G$1005,$L24)="","",INDEX('MARKET LINES'!$G$6:$G$1005,$L24)))</f>
        <v/>
      </c>
      <c r="Q24">
        <f>IF(OR($L24="",$P24="",SETTINGS!$B$5=""),0,IF(SETTINGS!$B$5-$P24&gt;SETTINGS!$B$13,1,0))</f>
        <v/>
      </c>
      <c r="R24">
        <f>IF($K24="",0,IF(COUNTIF('MARKET LINES'!$A$6:$A$1005,$K24)&gt;1,1,0))</f>
        <v/>
      </c>
      <c r="S24">
        <f>IF($K24="",0,IF($L24="",1,IF(INDEX('MARKET LINES'!$D$6:$D$1005,$L24)="",1,0)))</f>
        <v/>
      </c>
      <c r="T24">
        <f>IF(CLEAN!$N24="","",IF(ISNA(MATCH(CLEAN!$N24,$A$6:$A$143,0)),"",IF(INDEX($E$6:$E$143,MATCH(CLEAN!$N24,$A$6:$A$143,0))="","",INDEX($E$6:$E$143,MATCH(CLEAN!$N24,$A$6:$A$143,0)))))</f>
        <v/>
      </c>
      <c r="U24">
        <f>IF(CLEAN!$N24="","",IF(ISNA(MATCH(CLEAN!$N24,$A$6:$A$143,0)),"",IF(INDEX($F$6:$F$143,MATCH(CLEAN!$N24,$A$6:$A$143,0))="","",INDEX($F$6:$F$143,MATCH(CLEAN!$N24,$A$6:$A$143,0)))))</f>
        <v/>
      </c>
      <c r="V24">
        <f>IF(CLEAN!$P24="","",IF(ISNA(MATCH(CLEAN!$P24,$A$6:$A$143,0)),"",IF(INDEX($E$6:$E$143,MATCH(CLEAN!$P24,$A$6:$A$143,0))="","",INDEX($E$6:$E$143,MATCH(CLEAN!$P24,$A$6:$A$143,0)))))</f>
        <v/>
      </c>
      <c r="W24">
        <f>IF(CLEAN!$P24="","",IF(ISNA(MATCH(CLEAN!$P24,$A$6:$A$143,0)),"",IF(INDEX($F$6:$F$143,MATCH(CLEAN!$P24,$A$6:$A$143,0))="","",INDEX($F$6:$F$143,MATCH(CLEAN!$P24,$A$6:$A$143,0)))))</f>
        <v/>
      </c>
      <c r="X24">
        <f>IF($K24="","",IF(CLEAN!$O24&lt;&gt;"FBS",0,IF(ISNA(MATCH(CLEAN!$N24,'TEAM RATINGS'!$A$6:$A$143,0)),0,IF(INDEX('TEAM RATINGS'!$F$6:$F$143,MATCH(CLEAN!$N24,'TEAM RATINGS'!$A$6:$A$143,0))="",0,INDEX('TEAM RATINGS'!$F$6:$F$143,MATCH(CLEAN!$N24,'TEAM RATINGS'!$A$6:$A$143,0))))))</f>
        <v/>
      </c>
      <c r="Y24">
        <f>IF($K24="","",IF(CLEAN!$Q24&lt;&gt;"FBS",0,IF(ISNA(MATCH(CLEAN!$P24,'TEAM RATINGS'!$A$6:$A$143,0)),0,IF(INDEX('TEAM RATINGS'!$F$6:$F$143,MATCH(CLEAN!$P24,'TEAM RATINGS'!$A$6:$A$143,0))="",0,INDEX('TEAM RATINGS'!$F$6:$F$143,MATCH(CLEAN!$P24,'TEAM RATINGS'!$A$6:$A$143,0))))))</f>
        <v/>
      </c>
      <c r="Z24">
        <f>IF($K24="","",MIN(IF($X24="",0,$X24),IF($Y24="",0,$Y24)))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B4" t="n">
        <v>6</v>
      </c>
      <c r="C4" t="inlineStr">
        <is>
          <t>Set weekly (Step 1)</t>
        </is>
      </c>
    </row>
    <row r="5">
      <c r="A5" t="inlineStr">
        <is>
          <t>As-of date</t>
        </is>
      </c>
      <c r="B5" s="2" t="n">
        <v>46305</v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Y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2026-07-21T12:12:36Z</dcterms:created>
  <dcterms:modified xsi:type="dcterms:W3CDTF">2026-07-21T12:26:59Z</dcterms:modified>
</cp:coreProperties>
</file>