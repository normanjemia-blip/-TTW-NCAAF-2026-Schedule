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C64" t="inlineStr">
        <is>
          <t>TEST ONLY — NOT REAL DATA: Test Baseline QB</t>
        </is>
      </c>
      <c r="D64" t="n">
        <v>0</v>
      </c>
      <c r="E64" t="inlineStr">
        <is>
          <t>TEST ONLY — NOT REAL DATA: Test Active QB</t>
        </is>
      </c>
      <c r="F64" t="n">
        <v>0</v>
      </c>
      <c r="G64">
        <f>IF(OR($D64="",$F64=""),"",$F64-$D64)</f>
        <v/>
      </c>
      <c r="H64" t="inlineStr">
        <is>
          <t>M</t>
        </is>
      </c>
      <c r="I64" t="inlineStr">
        <is>
          <t>TEST ONLY — NOT REAL DATA</t>
        </is>
      </c>
      <c r="J64" t="n">
        <v>2026</v>
      </c>
      <c r="K64" s="2" t="n">
        <v>46266</v>
      </c>
      <c r="L64" t="inlineStr">
        <is>
          <t>TEST ONLY — NOT REAL DATA: temporarily resolved for Phase 6 QB-gate test</t>
        </is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C70" t="inlineStr">
        <is>
          <t>TEST ONLY — NOT REAL DATA: Test Baseline QB</t>
        </is>
      </c>
      <c r="D70" t="n">
        <v>0</v>
      </c>
      <c r="E70" t="inlineStr">
        <is>
          <t>TEST ONLY — NOT REAL DATA: Test Active QB</t>
        </is>
      </c>
      <c r="F70" t="n">
        <v>0</v>
      </c>
      <c r="G70">
        <f>IF(OR($D70="",$F70=""),"",$F70-$D70)</f>
        <v/>
      </c>
      <c r="H70" t="inlineStr">
        <is>
          <t>M</t>
        </is>
      </c>
      <c r="I70" t="inlineStr">
        <is>
          <t>TEST ONLY — NOT REAL DATA</t>
        </is>
      </c>
      <c r="J70" t="n">
        <v>2026</v>
      </c>
      <c r="K70" s="2" t="n">
        <v>46266</v>
      </c>
      <c r="L70" t="inlineStr">
        <is>
          <t>TEST ONLY — NOT REAL DATA: temporarily resolved for Phase 6 QB-gate test</t>
        </is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C97" t="inlineStr">
        <is>
          <t>TEST ONLY — NOT REAL DATA: Test Baseline QB</t>
        </is>
      </c>
      <c r="D97" t="n">
        <v>0</v>
      </c>
      <c r="E97" t="inlineStr">
        <is>
          <t>TEST ONLY — NOT REAL DATA: Test Active QB</t>
        </is>
      </c>
      <c r="F97" t="n">
        <v>0</v>
      </c>
      <c r="G97">
        <f>IF(OR($D97="",$F97=""),"",$F97-$D97)</f>
        <v/>
      </c>
      <c r="H97" t="inlineStr">
        <is>
          <t>M</t>
        </is>
      </c>
      <c r="I97" t="inlineStr">
        <is>
          <t>TEST ONLY — NOT REAL DATA</t>
        </is>
      </c>
      <c r="J97" t="n">
        <v>2026</v>
      </c>
      <c r="K97" s="2" t="n">
        <v>46266</v>
      </c>
      <c r="L97" t="inlineStr">
        <is>
          <t>TEST ONLY — NOT REAL DATA: temporarily resolved for Phase 6 QB-gate test</t>
        </is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C122" t="inlineStr">
        <is>
          <t>TEST ONLY — NOT REAL DATA: Test Baseline QB</t>
        </is>
      </c>
      <c r="D122" t="n">
        <v>0</v>
      </c>
      <c r="E122" t="inlineStr">
        <is>
          <t>TEST ONLY — NOT REAL DATA: Test Active QB</t>
        </is>
      </c>
      <c r="F122" t="n">
        <v>0</v>
      </c>
      <c r="G122">
        <f>IF(OR($D122="",$F122=""),"",$F122-$D122)</f>
        <v/>
      </c>
      <c r="H122" t="inlineStr">
        <is>
          <t>M</t>
        </is>
      </c>
      <c r="I122" t="inlineStr">
        <is>
          <t>TEST ONLY — NOT REAL DATA</t>
        </is>
      </c>
      <c r="J122" t="n">
        <v>2026</v>
      </c>
      <c r="K122" s="2" t="n">
        <v>46266</v>
      </c>
      <c r="L122" t="inlineStr">
        <is>
          <t>TEST ONLY — NOT REAL DATA: temporarily resolved for Phase 6 QB-gate test</t>
        </is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C6" t="inlineStr">
        <is>
          <t>TCU</t>
        </is>
      </c>
      <c r="D6" t="n">
        <v>3</v>
      </c>
      <c r="E6" t="n">
        <v>55</v>
      </c>
      <c r="F6" t="inlineStr">
        <is>
          <t>TEST ONLY — NOT REAL DATA</t>
        </is>
      </c>
      <c r="G6" s="2" t="n">
        <v>46254</v>
      </c>
      <c r="H6" t="inlineStr">
        <is>
          <t>TEST ONLY — NOT REAL DATA</t>
        </is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6.5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A10" t="inlineStr">
        <is>
          <t>401864570</t>
        </is>
      </c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C10" t="inlineStr">
        <is>
          <t>FSU</t>
        </is>
      </c>
      <c r="D10" t="n">
        <v>24.5</v>
      </c>
      <c r="E10" t="n">
        <v>58.5</v>
      </c>
      <c r="F10" t="inlineStr">
        <is>
          <t>TEST ONLY — NOT REAL DATA</t>
        </is>
      </c>
      <c r="G10" s="2" t="n">
        <v>46268</v>
      </c>
      <c r="H10" t="inlineStr">
        <is>
          <t>TEST ONLY — NOT REAL DATA</t>
        </is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A11" t="inlineStr">
        <is>
          <t>401864577</t>
        </is>
      </c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C11" t="inlineStr">
        <is>
          <t>NDSU</t>
        </is>
      </c>
      <c r="D11" t="n">
        <v>3</v>
      </c>
      <c r="E11" t="n">
        <v>45</v>
      </c>
      <c r="F11" t="inlineStr">
        <is>
          <t>TEST ONLY — NOT REAL DATA</t>
        </is>
      </c>
      <c r="G11" s="2" t="n">
        <v>46268</v>
      </c>
      <c r="H11" t="inlineStr">
        <is>
          <t>TEST ONLY — NOT REAL DATA</t>
        </is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A14" t="inlineStr">
        <is>
          <t>401856767</t>
        </is>
      </c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C14" t="inlineStr">
        <is>
          <t>UCF</t>
        </is>
      </c>
      <c r="D14" t="n">
        <v>45</v>
      </c>
      <c r="E14" t="n">
        <v>60</v>
      </c>
      <c r="F14" t="inlineStr">
        <is>
          <t>TEST ONLY — NOT REAL DATA</t>
        </is>
      </c>
      <c r="G14" s="2" t="n">
        <v>46268</v>
      </c>
      <c r="H14" t="inlineStr">
        <is>
          <t>TEST ONLY — NOT REAL DATA</t>
        </is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A15" t="inlineStr">
        <is>
          <t>401858204</t>
        </is>
      </c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C15" t="inlineStr">
        <is>
          <t>Ohio State</t>
        </is>
      </c>
      <c r="D15" t="n">
        <v>10</v>
      </c>
      <c r="F15" t="inlineStr">
        <is>
          <t>TEST ONLY — NOT REAL DATA</t>
        </is>
      </c>
      <c r="G15" s="2" t="n">
        <v>46268</v>
      </c>
      <c r="H15" t="inlineStr">
        <is>
          <t>TEST ONLY — NOT REAL DATA: deliberately invalid favorite + missing total</t>
        </is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6:K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</t>
        </is>
      </c>
      <c r="B6" t="inlineStr">
        <is>
          <t>401864570</t>
        </is>
      </c>
      <c r="C6" t="n">
        <v>1.5</v>
      </c>
      <c r="D6" t="inlineStr">
        <is>
          <t>TEST ONLY — NOT REAL DATA: validating manual adjustment pipeline</t>
        </is>
      </c>
      <c r="E6" t="inlineStr">
        <is>
          <t>TEST ONLY — NOT REAL DATA</t>
        </is>
      </c>
      <c r="F6" s="2" t="n">
        <v>46266</v>
      </c>
      <c r="H6" t="inlineStr">
        <is>
          <t>Y</t>
        </is>
      </c>
      <c r="I6" t="inlineStr">
        <is>
          <t>TEST ONLY — NOT REAL DATA</t>
        </is>
      </c>
      <c r="J6">
        <f>IF($A6="","",IF(AND($H6="Y",OR($G6="",SETTINGS!$B$5="",$G6&gt;=SETTINGS!$B$5)),1,0))</f>
        <v/>
      </c>
      <c r="K6">
        <f>IF($A6="","",IF($D6="","REASON MISSING; ","")&amp;IF(NOT(ISNUMBER($C6)),"VALUE NOT NUMERIC; ","")&amp;IF(AND(ISNUMBER($C6),ABS($C6)&gt;4,$A6&lt;&gt;"MARGIN OVERRIDE",$A6&lt;&gt;"TOTAL OVERRIDE"),"LARGE ADJ (&gt;4); ",""))</f>
        <v/>
      </c>
    </row>
    <row r="7">
      <c r="J7">
        <f>IF($A7="","",IF(AND($H7="Y",OR($G7="",SETTINGS!$B$5="",$G7&gt;=SETTINGS!$B$5)),1,0))</f>
        <v/>
      </c>
      <c r="K7">
        <f>IF($A7="","",IF($D7="","REASON MISSING; ","")&amp;IF(NOT(ISNUMBER($C7)),"VALUE NOT NUMERIC; ","")&amp;IF(AND(ISNUMBER($C7),ABS($C7)&gt;4,$A7&lt;&gt;"MARGIN OVERRIDE",$A7&lt;&gt;"TOTAL OVERRIDE"),"LARGE ADJ (&gt;4); ",""))</f>
        <v/>
      </c>
    </row>
    <row r="8">
      <c r="J8">
        <f>IF($A8="","",IF(AND($H8="Y",OR($G8="",SETTINGS!$B$5="",$G8&gt;=SETTINGS!$B$5)),1,0))</f>
        <v/>
      </c>
      <c r="K8">
        <f>IF($A8="","",IF($D8="","REASON MISSING; ","")&amp;IF(NOT(ISNUMBER($C8)),"VALUE NOT NUMERIC; ","")&amp;IF(AND(ISNUMBER($C8),ABS($C8)&gt;4,$A8&lt;&gt;"MARGIN OVERRIDE",$A8&lt;&gt;"TOTAL OVERRIDE"),"LARGE ADJ (&gt;4); ",""))</f>
        <v/>
      </c>
    </row>
    <row r="9">
      <c r="J9">
        <f>IF($A9="","",IF(AND($H9="Y",OR($G9="",SETTINGS!$B$5="",$G9&gt;=SETTINGS!$B$5)),1,0))</f>
        <v/>
      </c>
      <c r="K9">
        <f>IF($A9="","",IF($D9="","REASON MISSING; ","")&amp;IF(NOT(ISNUMBER($C9)),"VALUE NOT NUMERIC; ","")&amp;IF(AND(ISNUMBER($C9),ABS($C9)&gt;4,$A9&lt;&gt;"MARGIN OVERRIDE",$A9&lt;&gt;"TOTAL OVERRIDE"),"LARGE ADJ (&gt;4); ",""))</f>
        <v/>
      </c>
    </row>
    <row r="10">
      <c r="J10">
        <f>IF($A10="","",IF(AND($H10="Y",OR($G10="",SETTINGS!$B$5="",$G10&gt;=SETTINGS!$B$5)),1,0))</f>
        <v/>
      </c>
      <c r="K10">
        <f>IF($A10="","",IF($D10="","REASON MISSING; ","")&amp;IF(NOT(ISNUMBER($C10)),"VALUE NOT NUMERIC; ","")&amp;IF(AND(ISNUMBER($C10),ABS($C10)&gt;4,$A10&lt;&gt;"MARGIN OVERRIDE",$A10&lt;&gt;"TOTAL OVERRIDE"),"LARGE ADJ (&gt;4); ",""))</f>
        <v/>
      </c>
    </row>
    <row r="11">
      <c r="J11">
        <f>IF($A11="","",IF(AND($H11="Y",OR($G11="",SETTINGS!$B$5="",$G11&gt;=SETTINGS!$B$5)),1,0))</f>
        <v/>
      </c>
      <c r="K11">
        <f>IF($A11="","",IF($D11="","REASON MISSING; ","")&amp;IF(NOT(ISNUMBER($C11)),"VALUE NOT NUMERIC; ","")&amp;IF(AND(ISNUMBER($C11),ABS($C11)&gt;4,$A11&lt;&gt;"MARGIN OVERRIDE",$A11&lt;&gt;"TOTAL OVERRIDE"),"LARGE ADJ (&gt;4); ",""))</f>
        <v/>
      </c>
    </row>
    <row r="12">
      <c r="J12">
        <f>IF($A12="","",IF(AND($H12="Y",OR($G12="",SETTINGS!$B$5="",$G12&gt;=SETTINGS!$B$5)),1,0))</f>
        <v/>
      </c>
      <c r="K12">
        <f>IF($A12="","",IF($D12="","REASON MISSING; ","")&amp;IF(NOT(ISNUMBER($C12)),"VALUE NOT NUMERIC; ","")&amp;IF(AND(ISNUMBER($C12),ABS($C12)&gt;4,$A12&lt;&gt;"MARGIN OVERRIDE",$A12&lt;&gt;"TOTAL OVERRIDE"),"LARGE ADJ (&gt;4); ",""))</f>
        <v/>
      </c>
    </row>
    <row r="13">
      <c r="J13">
        <f>IF($A13="","",IF(AND($H13="Y",OR($G13="",SETTINGS!$B$5="",$G13&gt;=SETTINGS!$B$5)),1,0))</f>
        <v/>
      </c>
      <c r="K13">
        <f>IF($A13="","",IF($D13="","REASON MISSING; ","")&amp;IF(NOT(ISNUMBER($C13)),"VALUE NOT NUMERIC; ","")&amp;IF(AND(ISNUMBER($C13),ABS($C13)&gt;4,$A13&lt;&gt;"MARGIN OVERRIDE",$A13&lt;&gt;"TOTAL OVERRIDE"),"LARGE ADJ (&gt;4); ",""))</f>
        <v/>
      </c>
    </row>
    <row r="14">
      <c r="J14">
        <f>IF($A14="","",IF(AND($H14="Y",OR($G14="",SETTINGS!$B$5="",$G14&gt;=SETTINGS!$B$5)),1,0))</f>
        <v/>
      </c>
      <c r="K14">
        <f>IF($A14="","",IF($D14="","REASON MISSING; ","")&amp;IF(NOT(ISNUMBER($C14)),"VALUE NOT NUMERIC; ","")&amp;IF(AND(ISNUMBER($C14),ABS($C14)&gt;4,$A14&lt;&gt;"MARGIN OVERRIDE",$A14&lt;&gt;"TOTAL OVERRIDE"),"LARGE ADJ (&gt;4); ",""))</f>
        <v/>
      </c>
    </row>
    <row r="15">
      <c r="J15">
        <f>IF($A15="","",IF(AND($H15="Y",OR($G15="",SETTINGS!$B$5="",$G15&gt;=SETTINGS!$B$5)),1,0))</f>
        <v/>
      </c>
      <c r="K15">
        <f>IF($A15="","",IF($D15="","REASON MISSING; ","")&amp;IF(NOT(ISNUMBER($C15)),"VALUE NOT NUMERIC; ","")&amp;IF(AND(ISNUMBER($C15),ABS($C15)&gt;4,$A15&lt;&gt;"MARGIN OVERRIDE",$A15&lt;&gt;"TOTAL OVERRIDE"),"LARGE ADJ (&gt;4); ",""))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1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2026-07-21T01:09:09Z</dcterms:created>
  <dcterms:modified xsi:type="dcterms:W3CDTF">2026-07-21T01:16:13Z</dcterms:modified>
</cp:coreProperties>
</file>