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CALC" sheetId="2" state="visible" r:id="rId2"/>
    <sheet name="SETTINGS" sheetId="3" state="visible" r:id="rId3"/>
    <sheet name="CLEAN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J10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GAME6</t>
        </is>
      </c>
      <c r="B6" t="inlineStr">
        <is>
          <t>1</t>
        </is>
      </c>
      <c r="C6" t="inlineStr">
        <is>
          <t>2026-09-05</t>
        </is>
      </c>
      <c r="AE6" t="inlineStr">
        <is>
          <t>OK</t>
        </is>
      </c>
      <c r="AF6" t="inlineStr"/>
      <c r="AG6" t="inlineStr"/>
      <c r="AH6" t="inlineStr"/>
      <c r="AI6">
        <f>IF($A6="","",IF($AH6&lt;&gt;"","BLOCKED",IF($AG6&lt;&gt;"","FCS — NO PLAY",IF(CALC!$S6=1,"PENDING LINE",IF(CALC!$Q6=1,"STALE LINE",IF($AE6="QB UNCERTAIN","QB UNCERTAIN",IF($AF6&lt;&gt;"","FCS/TRANSITION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</row>
    <row r="7">
      <c r="A7" t="inlineStr">
        <is>
          <t>GAME7</t>
        </is>
      </c>
      <c r="B7" t="inlineStr">
        <is>
          <t>1</t>
        </is>
      </c>
      <c r="C7" t="inlineStr">
        <is>
          <t>2026-09-05</t>
        </is>
      </c>
      <c r="AE7" t="inlineStr">
        <is>
          <t>OK</t>
        </is>
      </c>
      <c r="AF7" t="inlineStr"/>
      <c r="AG7" t="inlineStr"/>
      <c r="AH7" t="inlineStr"/>
      <c r="AI7">
        <f>IF($A7="","",IF($AH7&lt;&gt;"","BLOCKED",IF($AG7&lt;&gt;"","FCS — NO PLAY",IF(CALC!$S7=1,"PENDING LINE",IF(CALC!$Q7=1,"STALE LINE",IF($AE7="QB UNCERTAIN","QB UNCERTAIN",IF($AF7&lt;&gt;"","FCS/TRANSITION UNCERTAIN",IF(OR($B7="",$C7=""),"DATA INCOMPLETE","READY"))))))))</f>
        <v/>
      </c>
      <c r="AJ7">
        <f>IF(OR($AI7="",$AI7="BLOCKED",$AI7="PENDING LINE",$AI7="FCS — NO PLAY"),"",MAX(1,MIN(5,3-IF(CALC!$Z7&lt;SETTINGS!$B$24,1,0)-IF($AE7="QB UNCERTAIN",1,0)-IF($AF7&lt;&gt;"",1,0)-IF($AG7&lt;&gt;"",1,0)+IF(CALC!$Z7&gt;=6,1,0))))</f>
        <v/>
      </c>
    </row>
    <row r="8">
      <c r="A8" t="inlineStr">
        <is>
          <t>GAME8</t>
        </is>
      </c>
      <c r="B8" t="inlineStr">
        <is>
          <t>1</t>
        </is>
      </c>
      <c r="C8" t="inlineStr">
        <is>
          <t>2026-09-05</t>
        </is>
      </c>
      <c r="AE8" t="inlineStr">
        <is>
          <t>OK</t>
        </is>
      </c>
      <c r="AF8" t="inlineStr"/>
      <c r="AG8" t="inlineStr">
        <is>
          <t>FCS OPP</t>
        </is>
      </c>
      <c r="AH8" t="inlineStr"/>
      <c r="AI8">
        <f>IF($A8="","",IF($AH8&lt;&gt;"","BLOCKED",IF($AG8&lt;&gt;"","FCS — NO PLAY",IF(CALC!$S8=1,"PENDING LINE",IF(CALC!$Q8=1,"STALE LINE",IF($AE8="QB UNCERTAIN","QB UNCERTAIN",IF($AF8&lt;&gt;"","FCS/TRANSITION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</row>
    <row r="9">
      <c r="A9" t="inlineStr">
        <is>
          <t>GAME9</t>
        </is>
      </c>
      <c r="B9" t="inlineStr">
        <is>
          <t>1</t>
        </is>
      </c>
      <c r="C9" t="inlineStr">
        <is>
          <t>2026-09-05</t>
        </is>
      </c>
      <c r="AE9" t="inlineStr">
        <is>
          <t>OK</t>
        </is>
      </c>
      <c r="AF9" t="inlineStr"/>
      <c r="AG9" t="inlineStr">
        <is>
          <t>FCS OPP</t>
        </is>
      </c>
      <c r="AH9" t="inlineStr">
        <is>
          <t xml:space="preserve">DUP GAMEID; </t>
        </is>
      </c>
      <c r="AI9">
        <f>IF($A9="","",IF($AH9&lt;&gt;"","BLOCKED",IF($AG9&lt;&gt;"","FCS — NO PLAY",IF(CALC!$S9=1,"PENDING LINE",IF(CALC!$Q9=1,"STALE LINE",IF($AE9="QB UNCERTAIN","QB UNCERTAIN",IF($AF9&lt;&gt;"","FCS/TRANSITION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</row>
    <row r="10">
      <c r="A10" t="inlineStr">
        <is>
          <t>GAME10</t>
        </is>
      </c>
      <c r="B10" t="inlineStr">
        <is>
          <t>1</t>
        </is>
      </c>
      <c r="C10" t="inlineStr">
        <is>
          <t>2026-09-05</t>
        </is>
      </c>
      <c r="AE10" t="inlineStr">
        <is>
          <t>OK</t>
        </is>
      </c>
      <c r="AF10" t="inlineStr">
        <is>
          <t>TRANSITIONAL</t>
        </is>
      </c>
      <c r="AG10" t="inlineStr"/>
      <c r="AH10" t="inlineStr"/>
      <c r="AI10">
        <f>IF($A10="","",IF($AH10&lt;&gt;"","BLOCKED",IF($AG10&lt;&gt;"","FCS — NO PLAY",IF(CALC!$S10=1,"PENDING LINE",IF(CALC!$Q10=1,"STALE LINE",IF($AE10="QB UNCERTAIN","QB UNCERTAIN",IF($AF10&lt;&gt;"","FCS/TRANSITION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Q6:Z10"/>
  <sheetViews>
    <sheetView workbookViewId="0">
      <selection activeCell="A1" sqref="A1"/>
    </sheetView>
  </sheetViews>
  <sheetFormatPr baseColWidth="8" defaultRowHeight="15"/>
  <sheetData>
    <row r="6">
      <c r="Q6" t="n">
        <v>0</v>
      </c>
      <c r="S6" t="n">
        <v>1</v>
      </c>
      <c r="Z6" t="n">
        <v>5</v>
      </c>
    </row>
    <row r="7">
      <c r="Q7" t="n">
        <v>0</v>
      </c>
      <c r="S7" t="n">
        <v>0</v>
      </c>
      <c r="Z7" t="n">
        <v>5</v>
      </c>
    </row>
    <row r="8">
      <c r="Q8" t="n">
        <v>0</v>
      </c>
      <c r="S8" t="n">
        <v>1</v>
      </c>
      <c r="Z8" t="n">
        <v>5</v>
      </c>
    </row>
    <row r="9">
      <c r="Q9" t="n">
        <v>0</v>
      </c>
      <c r="S9" t="n">
        <v>1</v>
      </c>
      <c r="Z9" t="n">
        <v>5</v>
      </c>
    </row>
    <row r="10">
      <c r="Q10" t="n">
        <v>0</v>
      </c>
      <c r="S10" t="n">
        <v>0</v>
      </c>
      <c r="Z1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4:B24"/>
  <sheetViews>
    <sheetView workbookViewId="0">
      <selection activeCell="A1" sqref="A1"/>
    </sheetView>
  </sheetViews>
  <sheetFormatPr baseColWidth="8" defaultRowHeight="15"/>
  <sheetData>
    <row r="24">
      <c r="B2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AC9"/>
  <sheetViews>
    <sheetView workbookViewId="0">
      <selection activeCell="A1" sqref="A1"/>
    </sheetView>
  </sheetViews>
  <sheetFormatPr baseColWidth="8" defaultRowHeight="15"/>
  <sheetData>
    <row r="6">
      <c r="A6" t="inlineStr">
        <is>
          <t>G6</t>
        </is>
      </c>
      <c r="L6" t="n">
        <v>1</v>
      </c>
      <c r="O6" t="inlineStr">
        <is>
          <t>FCS</t>
        </is>
      </c>
      <c r="AB6">
        <f>IF($A6="",0,$L6*IF($O6="FBS",1,0))</f>
        <v/>
      </c>
    </row>
    <row r="7">
      <c r="A7" t="inlineStr">
        <is>
          <t>G7</t>
        </is>
      </c>
      <c r="L7" t="n">
        <v>1</v>
      </c>
      <c r="O7" t="inlineStr">
        <is>
          <t>FBS</t>
        </is>
      </c>
      <c r="AB7">
        <f>IF($A7="",0,$L7*IF($O7="FBS",1,0))</f>
        <v/>
      </c>
    </row>
    <row r="8">
      <c r="A8" t="inlineStr">
        <is>
          <t>G8</t>
        </is>
      </c>
      <c r="L8" t="n">
        <v>1</v>
      </c>
      <c r="Q8" t="inlineStr">
        <is>
          <t>FCS</t>
        </is>
      </c>
      <c r="AC8">
        <f>IF($A8="",0,$L8*IF($Q8="FBS",1,0))</f>
        <v/>
      </c>
    </row>
    <row r="9">
      <c r="A9" t="inlineStr">
        <is>
          <t>G9</t>
        </is>
      </c>
      <c r="L9" t="n">
        <v>1</v>
      </c>
      <c r="Q9" t="inlineStr">
        <is>
          <t>FBS</t>
        </is>
      </c>
      <c r="AC9">
        <f>IF($A9="",0,$L9*IF($Q9="FBS",1,0))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2026-07-20T20:47:03Z</dcterms:created>
  <dcterms:modified xsi:type="dcterms:W3CDTF">2026-07-20T20:47:03Z</dcterms:modified>
</cp:coreProperties>
</file>