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MAP" sheetId="1" state="visible" r:id="rId1"/>
    <sheet name="PRESEASON" sheetId="2" state="visible" r:id="rId2"/>
    <sheet name="TEAM RATINGS" sheetId="3" state="visible" r:id="rId3"/>
    <sheet name="QB VALUES" sheetId="4" state="visible" r:id="rId4"/>
    <sheet name="IMPORT SCHEDULE" sheetId="5" state="visible" r:id="rId5"/>
    <sheet name="CLEAN" sheetId="6" state="visible" r:id="rId6"/>
    <sheet name="ENGINE" sheetId="7" state="visible" r:id="rId7"/>
    <sheet name="DASHBOARD" sheetId="8" state="visible" r:id="rId8"/>
    <sheet name="MARKET LINES" sheetId="9" state="visible" r:id="rId9"/>
    <sheet name="CALC" sheetId="10" state="visible" r:id="rId10"/>
    <sheet name="ADJUSTMENTS" sheetId="11" state="visible" r:id="rId11"/>
    <sheet name="DATA QUALITY" sheetId="12" state="visible" r:id="rId12"/>
    <sheet name="SETTINGS" sheetId="13" state="visible" r:id="rId13"/>
    <sheet name="FCS TIERS" sheetId="14" state="visible" r:id="rId14"/>
    <sheet name="IMPORT STATS" sheetId="15" state="visible" r:id="rId15"/>
    <sheet name="HISTORY" sheetId="16" state="visible" r:id="rId16"/>
    <sheet name="AUDI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418"/>
  <sheetViews>
    <sheetView workbookViewId="0">
      <selection activeCell="A1" sqref="A1"/>
    </sheetView>
  </sheetViews>
  <sheetFormatPr baseColWidth="8" defaultRowHeight="15"/>
  <sheetData>
    <row r="6">
      <c r="A6" t="inlineStr">
        <is>
          <t>ALA</t>
        </is>
      </c>
      <c r="B6" t="inlineStr">
        <is>
          <t>Alabama</t>
        </is>
      </c>
      <c r="C6" t="inlineStr">
        <is>
          <t>SEC</t>
        </is>
      </c>
      <c r="D6" t="inlineStr">
        <is>
          <t>FBS</t>
        </is>
      </c>
      <c r="E6" t="inlineStr">
        <is>
          <t>N</t>
        </is>
      </c>
      <c r="K6" t="inlineStr">
        <is>
          <t>Alabama</t>
        </is>
      </c>
      <c r="L6" t="inlineStr">
        <is>
          <t>ALA</t>
        </is>
      </c>
      <c r="N6" t="inlineStr">
        <is>
          <t>SEC</t>
        </is>
      </c>
    </row>
    <row r="7">
      <c r="A7" t="inlineStr">
        <is>
          <t>ARK</t>
        </is>
      </c>
      <c r="B7" t="inlineStr">
        <is>
          <t>Arkansas</t>
        </is>
      </c>
      <c r="C7" t="inlineStr">
        <is>
          <t>SEC</t>
        </is>
      </c>
      <c r="D7" t="inlineStr">
        <is>
          <t>FBS</t>
        </is>
      </c>
      <c r="E7" t="inlineStr">
        <is>
          <t>N</t>
        </is>
      </c>
      <c r="K7" t="inlineStr">
        <is>
          <t>ALA</t>
        </is>
      </c>
      <c r="L7" t="inlineStr">
        <is>
          <t>ALA</t>
        </is>
      </c>
      <c r="N7" t="inlineStr">
        <is>
          <t>Big Ten</t>
        </is>
      </c>
    </row>
    <row r="8">
      <c r="A8" t="inlineStr">
        <is>
          <t>AUB</t>
        </is>
      </c>
      <c r="B8" t="inlineStr">
        <is>
          <t>Auburn</t>
        </is>
      </c>
      <c r="C8" t="inlineStr">
        <is>
          <t>SEC</t>
        </is>
      </c>
      <c r="D8" t="inlineStr">
        <is>
          <t>FBS</t>
        </is>
      </c>
      <c r="E8" t="inlineStr">
        <is>
          <t>N</t>
        </is>
      </c>
      <c r="K8" t="inlineStr">
        <is>
          <t>Arkansas</t>
        </is>
      </c>
      <c r="L8" t="inlineStr">
        <is>
          <t>ARK</t>
        </is>
      </c>
      <c r="N8" t="inlineStr">
        <is>
          <t>Big 12</t>
        </is>
      </c>
    </row>
    <row r="9">
      <c r="A9" t="inlineStr">
        <is>
          <t>FLA</t>
        </is>
      </c>
      <c r="B9" t="inlineStr">
        <is>
          <t>Florida</t>
        </is>
      </c>
      <c r="C9" t="inlineStr">
        <is>
          <t>SEC</t>
        </is>
      </c>
      <c r="D9" t="inlineStr">
        <is>
          <t>FBS</t>
        </is>
      </c>
      <c r="E9" t="inlineStr">
        <is>
          <t>N</t>
        </is>
      </c>
      <c r="K9" t="inlineStr">
        <is>
          <t>ARK</t>
        </is>
      </c>
      <c r="L9" t="inlineStr">
        <is>
          <t>ARK</t>
        </is>
      </c>
      <c r="N9" t="inlineStr">
        <is>
          <t>ACC</t>
        </is>
      </c>
    </row>
    <row r="10">
      <c r="A10" t="inlineStr">
        <is>
          <t>UGA</t>
        </is>
      </c>
      <c r="B10" t="inlineStr">
        <is>
          <t>Georgia</t>
        </is>
      </c>
      <c r="C10" t="inlineStr">
        <is>
          <t>SEC</t>
        </is>
      </c>
      <c r="D10" t="inlineStr">
        <is>
          <t>FBS</t>
        </is>
      </c>
      <c r="E10" t="inlineStr">
        <is>
          <t>N</t>
        </is>
      </c>
      <c r="K10" t="inlineStr">
        <is>
          <t>Auburn</t>
        </is>
      </c>
      <c r="L10" t="inlineStr">
        <is>
          <t>AUB</t>
        </is>
      </c>
      <c r="N10" t="inlineStr">
        <is>
          <t>Pac-12</t>
        </is>
      </c>
    </row>
    <row r="11">
      <c r="A11" t="inlineStr">
        <is>
          <t>UK</t>
        </is>
      </c>
      <c r="B11" t="inlineStr">
        <is>
          <t>Kentucky</t>
        </is>
      </c>
      <c r="C11" t="inlineStr">
        <is>
          <t>SEC</t>
        </is>
      </c>
      <c r="D11" t="inlineStr">
        <is>
          <t>FBS</t>
        </is>
      </c>
      <c r="E11" t="inlineStr">
        <is>
          <t>N</t>
        </is>
      </c>
      <c r="F11" t="inlineStr">
        <is>
          <t>Do not confuse UK with KENT (Kent State)</t>
        </is>
      </c>
      <c r="K11" t="inlineStr">
        <is>
          <t>AUB</t>
        </is>
      </c>
      <c r="L11" t="inlineStr">
        <is>
          <t>AUB</t>
        </is>
      </c>
      <c r="N11" t="inlineStr">
        <is>
          <t>American Athletic</t>
        </is>
      </c>
    </row>
    <row r="12">
      <c r="A12" t="inlineStr">
        <is>
          <t>LSU</t>
        </is>
      </c>
      <c r="B12" t="inlineStr">
        <is>
          <t>LSU</t>
        </is>
      </c>
      <c r="C12" t="inlineStr">
        <is>
          <t>SEC</t>
        </is>
      </c>
      <c r="D12" t="inlineStr">
        <is>
          <t>FBS</t>
        </is>
      </c>
      <c r="E12" t="inlineStr">
        <is>
          <t>N</t>
        </is>
      </c>
      <c r="K12" t="inlineStr">
        <is>
          <t>Florida</t>
        </is>
      </c>
      <c r="L12" t="inlineStr">
        <is>
          <t>FLA</t>
        </is>
      </c>
      <c r="N12" t="inlineStr">
        <is>
          <t>American</t>
        </is>
      </c>
    </row>
    <row r="13">
      <c r="A13" t="inlineStr">
        <is>
          <t>MSST</t>
        </is>
      </c>
      <c r="B13" t="inlineStr">
        <is>
          <t>Mississippi State</t>
        </is>
      </c>
      <c r="C13" t="inlineStr">
        <is>
          <t>SEC</t>
        </is>
      </c>
      <c r="D13" t="inlineStr">
        <is>
          <t>FBS</t>
        </is>
      </c>
      <c r="E13" t="inlineStr">
        <is>
          <t>N</t>
        </is>
      </c>
      <c r="F13" t="inlineStr">
        <is>
          <t>MSU is AMBIGUOUS - blocked alias</t>
        </is>
      </c>
      <c r="K13" t="inlineStr">
        <is>
          <t>FLA</t>
        </is>
      </c>
      <c r="L13" t="inlineStr">
        <is>
          <t>FLA</t>
        </is>
      </c>
      <c r="N13" t="inlineStr">
        <is>
          <t>Conference USA</t>
        </is>
      </c>
    </row>
    <row r="14">
      <c r="A14" t="inlineStr">
        <is>
          <t>MIZ</t>
        </is>
      </c>
      <c r="B14" t="inlineStr">
        <is>
          <t>Missouri</t>
        </is>
      </c>
      <c r="C14" t="inlineStr">
        <is>
          <t>SEC</t>
        </is>
      </c>
      <c r="D14" t="inlineStr">
        <is>
          <t>FBS</t>
        </is>
      </c>
      <c r="E14" t="inlineStr">
        <is>
          <t>N</t>
        </is>
      </c>
      <c r="K14" t="inlineStr">
        <is>
          <t>Georgia</t>
        </is>
      </c>
      <c r="L14" t="inlineStr">
        <is>
          <t>UGA</t>
        </is>
      </c>
      <c r="N14" t="inlineStr">
        <is>
          <t>Mid-American</t>
        </is>
      </c>
    </row>
    <row r="15">
      <c r="A15" t="inlineStr">
        <is>
          <t>OU</t>
        </is>
      </c>
      <c r="B15" t="inlineStr">
        <is>
          <t>Oklahoma</t>
        </is>
      </c>
      <c r="C15" t="inlineStr">
        <is>
          <t>SEC</t>
        </is>
      </c>
      <c r="D15" t="inlineStr">
        <is>
          <t>FBS</t>
        </is>
      </c>
      <c r="E15" t="inlineStr">
        <is>
          <t>N</t>
        </is>
      </c>
      <c r="K15" t="inlineStr">
        <is>
          <t>UGA</t>
        </is>
      </c>
      <c r="L15" t="inlineStr">
        <is>
          <t>UGA</t>
        </is>
      </c>
      <c r="N15" t="inlineStr">
        <is>
          <t>MAC</t>
        </is>
      </c>
    </row>
    <row r="16">
      <c r="A16" t="inlineStr">
        <is>
          <t>MISS</t>
        </is>
      </c>
      <c r="B16" t="inlineStr">
        <is>
          <t>Ole Miss</t>
        </is>
      </c>
      <c r="C16" t="inlineStr">
        <is>
          <t>SEC</t>
        </is>
      </c>
      <c r="D16" t="inlineStr">
        <is>
          <t>FBS</t>
        </is>
      </c>
      <c r="E16" t="inlineStr">
        <is>
          <t>N</t>
        </is>
      </c>
      <c r="F16" t="inlineStr">
        <is>
          <t>CFBD name: Ole Miss</t>
        </is>
      </c>
      <c r="K16" t="inlineStr">
        <is>
          <t>Kentucky</t>
        </is>
      </c>
      <c r="L16" t="inlineStr">
        <is>
          <t>UK</t>
        </is>
      </c>
      <c r="N16" t="inlineStr">
        <is>
          <t>Mountain West</t>
        </is>
      </c>
    </row>
    <row r="17">
      <c r="A17" t="inlineStr">
        <is>
          <t>SCAR</t>
        </is>
      </c>
      <c r="B17" t="inlineStr">
        <is>
          <t>South Carolina</t>
        </is>
      </c>
      <c r="C17" t="inlineStr">
        <is>
          <t>SEC</t>
        </is>
      </c>
      <c r="D17" t="inlineStr">
        <is>
          <t>FBS</t>
        </is>
      </c>
      <c r="E17" t="inlineStr">
        <is>
          <t>N</t>
        </is>
      </c>
      <c r="F17" t="inlineStr">
        <is>
          <t>SC is AMBIGUOUS - blocked alias</t>
        </is>
      </c>
      <c r="K17" t="inlineStr">
        <is>
          <t>UK</t>
        </is>
      </c>
      <c r="L17" t="inlineStr">
        <is>
          <t>UK</t>
        </is>
      </c>
      <c r="N17" t="inlineStr">
        <is>
          <t>Sun Belt</t>
        </is>
      </c>
    </row>
    <row r="18">
      <c r="A18" t="inlineStr">
        <is>
          <t>TENN</t>
        </is>
      </c>
      <c r="B18" t="inlineStr">
        <is>
          <t>Tennessee</t>
        </is>
      </c>
      <c r="C18" t="inlineStr">
        <is>
          <t>SEC</t>
        </is>
      </c>
      <c r="D18" t="inlineStr">
        <is>
          <t>FBS</t>
        </is>
      </c>
      <c r="E18" t="inlineStr">
        <is>
          <t>N</t>
        </is>
      </c>
      <c r="F18" t="inlineStr">
        <is>
          <t>UT is AMBIGUOUS - blocked alias</t>
        </is>
      </c>
      <c r="K18" t="inlineStr">
        <is>
          <t>LSU</t>
        </is>
      </c>
      <c r="L18" t="inlineStr">
        <is>
          <t>LSU</t>
        </is>
      </c>
      <c r="N18" t="inlineStr">
        <is>
          <t>FBS Independents</t>
        </is>
      </c>
    </row>
    <row r="19">
      <c r="A19" t="inlineStr">
        <is>
          <t>TEX</t>
        </is>
      </c>
      <c r="B19" t="inlineStr">
        <is>
          <t>Texas</t>
        </is>
      </c>
      <c r="C19" t="inlineStr">
        <is>
          <t>SEC</t>
        </is>
      </c>
      <c r="D19" t="inlineStr">
        <is>
          <t>FBS</t>
        </is>
      </c>
      <c r="E19" t="inlineStr">
        <is>
          <t>N</t>
        </is>
      </c>
      <c r="F19" t="inlineStr">
        <is>
          <t>UT is AMBIGUOUS - blocked alias</t>
        </is>
      </c>
      <c r="K19" t="inlineStr">
        <is>
          <t>Mississippi State</t>
        </is>
      </c>
      <c r="L19" t="inlineStr">
        <is>
          <t>MSST</t>
        </is>
      </c>
      <c r="N19" t="inlineStr">
        <is>
          <t>Independent</t>
        </is>
      </c>
    </row>
    <row r="20">
      <c r="A20" t="inlineStr">
        <is>
          <t>TAMU</t>
        </is>
      </c>
      <c r="B20" t="inlineStr">
        <is>
          <t>Texas A&amp;M</t>
        </is>
      </c>
      <c r="C20" t="inlineStr">
        <is>
          <t>SEC</t>
        </is>
      </c>
      <c r="D20" t="inlineStr">
        <is>
          <t>FBS</t>
        </is>
      </c>
      <c r="E20" t="inlineStr">
        <is>
          <t>N</t>
        </is>
      </c>
      <c r="K20" t="inlineStr">
        <is>
          <t>MSST</t>
        </is>
      </c>
      <c r="L20" t="inlineStr">
        <is>
          <t>MSST</t>
        </is>
      </c>
      <c r="N20" t="inlineStr">
        <is>
          <t>Atlantic Coast Conference</t>
        </is>
      </c>
    </row>
    <row r="21">
      <c r="A21" t="inlineStr">
        <is>
          <t>VAN</t>
        </is>
      </c>
      <c r="B21" t="inlineStr">
        <is>
          <t>Vanderbilt</t>
        </is>
      </c>
      <c r="C21" t="inlineStr">
        <is>
          <t>SEC</t>
        </is>
      </c>
      <c r="D21" t="inlineStr">
        <is>
          <t>FBS</t>
        </is>
      </c>
      <c r="E21" t="inlineStr">
        <is>
          <t>N</t>
        </is>
      </c>
      <c r="K21" t="inlineStr">
        <is>
          <t>Missouri</t>
        </is>
      </c>
      <c r="L21" t="inlineStr">
        <is>
          <t>MIZ</t>
        </is>
      </c>
      <c r="N21" t="inlineStr">
        <is>
          <t>Big Ten Conference</t>
        </is>
      </c>
    </row>
    <row r="22">
      <c r="A22" t="inlineStr">
        <is>
          <t>ILL</t>
        </is>
      </c>
      <c r="B22" t="inlineStr">
        <is>
          <t>Illinois</t>
        </is>
      </c>
      <c r="C22" t="inlineStr">
        <is>
          <t>Big Ten</t>
        </is>
      </c>
      <c r="D22" t="inlineStr">
        <is>
          <t>FBS</t>
        </is>
      </c>
      <c r="E22" t="inlineStr">
        <is>
          <t>N</t>
        </is>
      </c>
      <c r="K22" t="inlineStr">
        <is>
          <t>MIZ</t>
        </is>
      </c>
      <c r="L22" t="inlineStr">
        <is>
          <t>MIZ</t>
        </is>
      </c>
      <c r="N22" t="inlineStr">
        <is>
          <t>Big 12 Conference</t>
        </is>
      </c>
    </row>
    <row r="23">
      <c r="A23" t="inlineStr">
        <is>
          <t>IND</t>
        </is>
      </c>
      <c r="B23" t="inlineStr">
        <is>
          <t>Indiana</t>
        </is>
      </c>
      <c r="C23" t="inlineStr">
        <is>
          <t>Big Ten</t>
        </is>
      </c>
      <c r="D23" t="inlineStr">
        <is>
          <t>FBS</t>
        </is>
      </c>
      <c r="E23" t="inlineStr">
        <is>
          <t>N</t>
        </is>
      </c>
      <c r="K23" t="inlineStr">
        <is>
          <t>Oklahoma</t>
        </is>
      </c>
      <c r="L23" t="inlineStr">
        <is>
          <t>OU</t>
        </is>
      </c>
      <c r="N23" t="inlineStr">
        <is>
          <t>Southeastern Conference</t>
        </is>
      </c>
    </row>
    <row r="24">
      <c r="A24" t="inlineStr">
        <is>
          <t>IOWA</t>
        </is>
      </c>
      <c r="B24" t="inlineStr">
        <is>
          <t>Iowa</t>
        </is>
      </c>
      <c r="C24" t="inlineStr">
        <is>
          <t>Big Ten</t>
        </is>
      </c>
      <c r="D24" t="inlineStr">
        <is>
          <t>FBS</t>
        </is>
      </c>
      <c r="E24" t="inlineStr">
        <is>
          <t>N</t>
        </is>
      </c>
      <c r="K24" t="inlineStr">
        <is>
          <t>OU</t>
        </is>
      </c>
      <c r="L24" t="inlineStr">
        <is>
          <t>OU</t>
        </is>
      </c>
      <c r="N24" t="inlineStr">
        <is>
          <t>Pac-12 Conference</t>
        </is>
      </c>
    </row>
    <row r="25">
      <c r="A25" t="inlineStr">
        <is>
          <t>MD</t>
        </is>
      </c>
      <c r="B25" t="inlineStr">
        <is>
          <t>Maryland</t>
        </is>
      </c>
      <c r="C25" t="inlineStr">
        <is>
          <t>Big Ten</t>
        </is>
      </c>
      <c r="D25" t="inlineStr">
        <is>
          <t>FBS</t>
        </is>
      </c>
      <c r="E25" t="inlineStr">
        <is>
          <t>N</t>
        </is>
      </c>
      <c r="K25" t="inlineStr">
        <is>
          <t>Ole Miss</t>
        </is>
      </c>
      <c r="L25" t="inlineStr">
        <is>
          <t>MISS</t>
        </is>
      </c>
      <c r="N25" t="inlineStr">
        <is>
          <t>American Conference</t>
        </is>
      </c>
    </row>
    <row r="26">
      <c r="A26" t="inlineStr">
        <is>
          <t>MICH</t>
        </is>
      </c>
      <c r="B26" t="inlineStr">
        <is>
          <t>Michigan</t>
        </is>
      </c>
      <c r="C26" t="inlineStr">
        <is>
          <t>Big Ten</t>
        </is>
      </c>
      <c r="D26" t="inlineStr">
        <is>
          <t>FBS</t>
        </is>
      </c>
      <c r="E26" t="inlineStr">
        <is>
          <t>N</t>
        </is>
      </c>
      <c r="F26" t="inlineStr">
        <is>
          <t>UM is AMBIGUOUS - blocked alias</t>
        </is>
      </c>
      <c r="K26" t="inlineStr">
        <is>
          <t>MISS</t>
        </is>
      </c>
      <c r="L26" t="inlineStr">
        <is>
          <t>MISS</t>
        </is>
      </c>
      <c r="N26" t="inlineStr">
        <is>
          <t>Mid-American Conference</t>
        </is>
      </c>
    </row>
    <row r="27">
      <c r="A27" t="inlineStr">
        <is>
          <t>MSU</t>
        </is>
      </c>
      <c r="B27" t="inlineStr">
        <is>
          <t>Michigan State</t>
        </is>
      </c>
      <c r="C27" t="inlineStr">
        <is>
          <t>Big Ten</t>
        </is>
      </c>
      <c r="D27" t="inlineStr">
        <is>
          <t>FBS</t>
        </is>
      </c>
      <c r="E27" t="inlineStr">
        <is>
          <t>N</t>
        </is>
      </c>
      <c r="F27" t="inlineStr">
        <is>
          <t>MSU reserved here; MSST/MOST elsewhere</t>
        </is>
      </c>
      <c r="K27" t="inlineStr">
        <is>
          <t>South Carolina</t>
        </is>
      </c>
      <c r="L27" t="inlineStr">
        <is>
          <t>SCAR</t>
        </is>
      </c>
      <c r="N27" t="inlineStr">
        <is>
          <t>Mountain West Conference</t>
        </is>
      </c>
    </row>
    <row r="28">
      <c r="A28" t="inlineStr">
        <is>
          <t>MINN</t>
        </is>
      </c>
      <c r="B28" t="inlineStr">
        <is>
          <t>Minnesota</t>
        </is>
      </c>
      <c r="C28" t="inlineStr">
        <is>
          <t>Big Ten</t>
        </is>
      </c>
      <c r="D28" t="inlineStr">
        <is>
          <t>FBS</t>
        </is>
      </c>
      <c r="E28" t="inlineStr">
        <is>
          <t>N</t>
        </is>
      </c>
      <c r="K28" t="inlineStr">
        <is>
          <t>SCAR</t>
        </is>
      </c>
      <c r="L28" t="inlineStr">
        <is>
          <t>SCAR</t>
        </is>
      </c>
      <c r="N28" t="inlineStr">
        <is>
          <t>Sun Belt Conference</t>
        </is>
      </c>
    </row>
    <row r="29">
      <c r="A29" t="inlineStr">
        <is>
          <t>NEB</t>
        </is>
      </c>
      <c r="B29" t="inlineStr">
        <is>
          <t>Nebraska</t>
        </is>
      </c>
      <c r="C29" t="inlineStr">
        <is>
          <t>Big Ten</t>
        </is>
      </c>
      <c r="D29" t="inlineStr">
        <is>
          <t>FBS</t>
        </is>
      </c>
      <c r="E29" t="inlineStr">
        <is>
          <t>N</t>
        </is>
      </c>
      <c r="K29" t="inlineStr">
        <is>
          <t>Tennessee</t>
        </is>
      </c>
      <c r="L29" t="inlineStr">
        <is>
          <t>TENN</t>
        </is>
      </c>
    </row>
    <row r="30">
      <c r="A30" t="inlineStr">
        <is>
          <t>NW</t>
        </is>
      </c>
      <c r="B30" t="inlineStr">
        <is>
          <t>Northwestern</t>
        </is>
      </c>
      <c r="C30" t="inlineStr">
        <is>
          <t>Big Ten</t>
        </is>
      </c>
      <c r="D30" t="inlineStr">
        <is>
          <t>FBS</t>
        </is>
      </c>
      <c r="E30" t="inlineStr">
        <is>
          <t>N</t>
        </is>
      </c>
      <c r="F30" t="inlineStr">
        <is>
          <t>NU not used (ambiguous)</t>
        </is>
      </c>
      <c r="K30" t="inlineStr">
        <is>
          <t>TENN</t>
        </is>
      </c>
      <c r="L30" t="inlineStr">
        <is>
          <t>TENN</t>
        </is>
      </c>
    </row>
    <row r="31">
      <c r="A31" t="inlineStr">
        <is>
          <t>OHST</t>
        </is>
      </c>
      <c r="B31" t="inlineStr">
        <is>
          <t>Ohio State</t>
        </is>
      </c>
      <c r="C31" t="inlineStr">
        <is>
          <t>Big Ten</t>
        </is>
      </c>
      <c r="D31" t="inlineStr">
        <is>
          <t>FBS</t>
        </is>
      </c>
      <c r="E31" t="inlineStr">
        <is>
          <t>N</t>
        </is>
      </c>
      <c r="F31" t="inlineStr">
        <is>
          <t>OSU is AMBIGUOUS - blocked alias</t>
        </is>
      </c>
      <c r="K31" t="inlineStr">
        <is>
          <t>Texas</t>
        </is>
      </c>
      <c r="L31" t="inlineStr">
        <is>
          <t>TEX</t>
        </is>
      </c>
    </row>
    <row r="32">
      <c r="A32" t="inlineStr">
        <is>
          <t>ORE</t>
        </is>
      </c>
      <c r="B32" t="inlineStr">
        <is>
          <t>Oregon</t>
        </is>
      </c>
      <c r="C32" t="inlineStr">
        <is>
          <t>Big Ten</t>
        </is>
      </c>
      <c r="D32" t="inlineStr">
        <is>
          <t>FBS</t>
        </is>
      </c>
      <c r="E32" t="inlineStr">
        <is>
          <t>N</t>
        </is>
      </c>
      <c r="K32" t="inlineStr">
        <is>
          <t>TEX</t>
        </is>
      </c>
      <c r="L32" t="inlineStr">
        <is>
          <t>TEX</t>
        </is>
      </c>
    </row>
    <row r="33">
      <c r="A33" t="inlineStr">
        <is>
          <t>PSU</t>
        </is>
      </c>
      <c r="B33" t="inlineStr">
        <is>
          <t>Penn State</t>
        </is>
      </c>
      <c r="C33" t="inlineStr">
        <is>
          <t>Big Ten</t>
        </is>
      </c>
      <c r="D33" t="inlineStr">
        <is>
          <t>FBS</t>
        </is>
      </c>
      <c r="E33" t="inlineStr">
        <is>
          <t>N</t>
        </is>
      </c>
      <c r="K33" t="inlineStr">
        <is>
          <t>Texas A&amp;M</t>
        </is>
      </c>
      <c r="L33" t="inlineStr">
        <is>
          <t>TAMU</t>
        </is>
      </c>
    </row>
    <row r="34">
      <c r="A34" t="inlineStr">
        <is>
          <t>PUR</t>
        </is>
      </c>
      <c r="B34" t="inlineStr">
        <is>
          <t>Purdue</t>
        </is>
      </c>
      <c r="C34" t="inlineStr">
        <is>
          <t>Big Ten</t>
        </is>
      </c>
      <c r="D34" t="inlineStr">
        <is>
          <t>FBS</t>
        </is>
      </c>
      <c r="E34" t="inlineStr">
        <is>
          <t>N</t>
        </is>
      </c>
      <c r="K34" t="inlineStr">
        <is>
          <t>TAMU</t>
        </is>
      </c>
      <c r="L34" t="inlineStr">
        <is>
          <t>TAMU</t>
        </is>
      </c>
    </row>
    <row r="35">
      <c r="A35" t="inlineStr">
        <is>
          <t>RUTG</t>
        </is>
      </c>
      <c r="B35" t="inlineStr">
        <is>
          <t>Rutgers</t>
        </is>
      </c>
      <c r="C35" t="inlineStr">
        <is>
          <t>Big Ten</t>
        </is>
      </c>
      <c r="D35" t="inlineStr">
        <is>
          <t>FBS</t>
        </is>
      </c>
      <c r="E35" t="inlineStr">
        <is>
          <t>N</t>
        </is>
      </c>
      <c r="K35" t="inlineStr">
        <is>
          <t>Vanderbilt</t>
        </is>
      </c>
      <c r="L35" t="inlineStr">
        <is>
          <t>VAN</t>
        </is>
      </c>
    </row>
    <row r="36">
      <c r="A36" t="inlineStr">
        <is>
          <t>UCLA</t>
        </is>
      </c>
      <c r="B36" t="inlineStr">
        <is>
          <t>UCLA</t>
        </is>
      </c>
      <c r="C36" t="inlineStr">
        <is>
          <t>Big Ten</t>
        </is>
      </c>
      <c r="D36" t="inlineStr">
        <is>
          <t>FBS</t>
        </is>
      </c>
      <c r="E36" t="inlineStr">
        <is>
          <t>N</t>
        </is>
      </c>
      <c r="K36" t="inlineStr">
        <is>
          <t>VAN</t>
        </is>
      </c>
      <c r="L36" t="inlineStr">
        <is>
          <t>VAN</t>
        </is>
      </c>
    </row>
    <row r="37">
      <c r="A37" t="inlineStr">
        <is>
          <t>USC</t>
        </is>
      </c>
      <c r="B37" t="inlineStr">
        <is>
          <t>USC</t>
        </is>
      </c>
      <c r="C37" t="inlineStr">
        <is>
          <t>Big Ten</t>
        </is>
      </c>
      <c r="D37" t="inlineStr">
        <is>
          <t>FBS</t>
        </is>
      </c>
      <c r="E37" t="inlineStr">
        <is>
          <t>N</t>
        </is>
      </c>
      <c r="K37" t="inlineStr">
        <is>
          <t>Illinois</t>
        </is>
      </c>
      <c r="L37" t="inlineStr">
        <is>
          <t>ILL</t>
        </is>
      </c>
    </row>
    <row r="38">
      <c r="A38" t="inlineStr">
        <is>
          <t>WASH</t>
        </is>
      </c>
      <c r="B38" t="inlineStr">
        <is>
          <t>Washington</t>
        </is>
      </c>
      <c r="C38" t="inlineStr">
        <is>
          <t>Big Ten</t>
        </is>
      </c>
      <c r="D38" t="inlineStr">
        <is>
          <t>FBS</t>
        </is>
      </c>
      <c r="E38" t="inlineStr">
        <is>
          <t>N</t>
        </is>
      </c>
      <c r="K38" t="inlineStr">
        <is>
          <t>ILL</t>
        </is>
      </c>
      <c r="L38" t="inlineStr">
        <is>
          <t>ILL</t>
        </is>
      </c>
    </row>
    <row r="39">
      <c r="A39" t="inlineStr">
        <is>
          <t>WISC</t>
        </is>
      </c>
      <c r="B39" t="inlineStr">
        <is>
          <t>Wisconsin</t>
        </is>
      </c>
      <c r="C39" t="inlineStr">
        <is>
          <t>Big Ten</t>
        </is>
      </c>
      <c r="D39" t="inlineStr">
        <is>
          <t>FBS</t>
        </is>
      </c>
      <c r="E39" t="inlineStr">
        <is>
          <t>N</t>
        </is>
      </c>
      <c r="K39" t="inlineStr">
        <is>
          <t>Indiana</t>
        </is>
      </c>
      <c r="L39" t="inlineStr">
        <is>
          <t>IND</t>
        </is>
      </c>
    </row>
    <row r="40">
      <c r="A40" t="inlineStr">
        <is>
          <t>ARIZ</t>
        </is>
      </c>
      <c r="B40" t="inlineStr">
        <is>
          <t>Arizona</t>
        </is>
      </c>
      <c r="C40" t="inlineStr">
        <is>
          <t>Big 12</t>
        </is>
      </c>
      <c r="D40" t="inlineStr">
        <is>
          <t>FBS</t>
        </is>
      </c>
      <c r="E40" t="inlineStr">
        <is>
          <t>N</t>
        </is>
      </c>
      <c r="K40" t="inlineStr">
        <is>
          <t>IND</t>
        </is>
      </c>
      <c r="L40" t="inlineStr">
        <is>
          <t>IND</t>
        </is>
      </c>
    </row>
    <row r="41">
      <c r="A41" t="inlineStr">
        <is>
          <t>AZST</t>
        </is>
      </c>
      <c r="B41" t="inlineStr">
        <is>
          <t>Arizona State</t>
        </is>
      </c>
      <c r="C41" t="inlineStr">
        <is>
          <t>Big 12</t>
        </is>
      </c>
      <c r="D41" t="inlineStr">
        <is>
          <t>FBS</t>
        </is>
      </c>
      <c r="E41" t="inlineStr">
        <is>
          <t>N</t>
        </is>
      </c>
      <c r="F41" t="inlineStr">
        <is>
          <t>ASU maps here (Ark State = ARST)</t>
        </is>
      </c>
      <c r="K41" t="inlineStr">
        <is>
          <t>Iowa</t>
        </is>
      </c>
      <c r="L41" t="inlineStr">
        <is>
          <t>IOWA</t>
        </is>
      </c>
    </row>
    <row r="42">
      <c r="A42" t="inlineStr">
        <is>
          <t>BAY</t>
        </is>
      </c>
      <c r="B42" t="inlineStr">
        <is>
          <t>Baylor</t>
        </is>
      </c>
      <c r="C42" t="inlineStr">
        <is>
          <t>Big 12</t>
        </is>
      </c>
      <c r="D42" t="inlineStr">
        <is>
          <t>FBS</t>
        </is>
      </c>
      <c r="E42" t="inlineStr">
        <is>
          <t>N</t>
        </is>
      </c>
      <c r="K42" t="inlineStr">
        <is>
          <t>Maryland</t>
        </is>
      </c>
      <c r="L42" t="inlineStr">
        <is>
          <t>MD</t>
        </is>
      </c>
    </row>
    <row r="43">
      <c r="A43" t="inlineStr">
        <is>
          <t>BYU</t>
        </is>
      </c>
      <c r="B43" t="inlineStr">
        <is>
          <t>BYU</t>
        </is>
      </c>
      <c r="C43" t="inlineStr">
        <is>
          <t>Big 12</t>
        </is>
      </c>
      <c r="D43" t="inlineStr">
        <is>
          <t>FBS</t>
        </is>
      </c>
      <c r="E43" t="inlineStr">
        <is>
          <t>N</t>
        </is>
      </c>
      <c r="K43" t="inlineStr">
        <is>
          <t>MD</t>
        </is>
      </c>
      <c r="L43" t="inlineStr">
        <is>
          <t>MD</t>
        </is>
      </c>
    </row>
    <row r="44">
      <c r="A44" t="inlineStr">
        <is>
          <t>CIN</t>
        </is>
      </c>
      <c r="B44" t="inlineStr">
        <is>
          <t>Cincinnati</t>
        </is>
      </c>
      <c r="C44" t="inlineStr">
        <is>
          <t>Big 12</t>
        </is>
      </c>
      <c r="D44" t="inlineStr">
        <is>
          <t>FBS</t>
        </is>
      </c>
      <c r="E44" t="inlineStr">
        <is>
          <t>N</t>
        </is>
      </c>
      <c r="K44" t="inlineStr">
        <is>
          <t>Michigan</t>
        </is>
      </c>
      <c r="L44" t="inlineStr">
        <is>
          <t>MICH</t>
        </is>
      </c>
    </row>
    <row r="45">
      <c r="A45" t="inlineStr">
        <is>
          <t>COLO</t>
        </is>
      </c>
      <c r="B45" t="inlineStr">
        <is>
          <t>Colorado</t>
        </is>
      </c>
      <c r="C45" t="inlineStr">
        <is>
          <t>Big 12</t>
        </is>
      </c>
      <c r="D45" t="inlineStr">
        <is>
          <t>FBS</t>
        </is>
      </c>
      <c r="E45" t="inlineStr">
        <is>
          <t>N</t>
        </is>
      </c>
      <c r="K45" t="inlineStr">
        <is>
          <t>MICH</t>
        </is>
      </c>
      <c r="L45" t="inlineStr">
        <is>
          <t>MICH</t>
        </is>
      </c>
    </row>
    <row r="46">
      <c r="A46" t="inlineStr">
        <is>
          <t>HOU</t>
        </is>
      </c>
      <c r="B46" t="inlineStr">
        <is>
          <t>Houston</t>
        </is>
      </c>
      <c r="C46" t="inlineStr">
        <is>
          <t>Big 12</t>
        </is>
      </c>
      <c r="D46" t="inlineStr">
        <is>
          <t>FBS</t>
        </is>
      </c>
      <c r="E46" t="inlineStr">
        <is>
          <t>N</t>
        </is>
      </c>
      <c r="K46" t="inlineStr">
        <is>
          <t>Michigan State</t>
        </is>
      </c>
      <c r="L46" t="inlineStr">
        <is>
          <t>MSU</t>
        </is>
      </c>
    </row>
    <row r="47">
      <c r="A47" t="inlineStr">
        <is>
          <t>ISU</t>
        </is>
      </c>
      <c r="B47" t="inlineStr">
        <is>
          <t>Iowa State</t>
        </is>
      </c>
      <c r="C47" t="inlineStr">
        <is>
          <t>Big 12</t>
        </is>
      </c>
      <c r="D47" t="inlineStr">
        <is>
          <t>FBS</t>
        </is>
      </c>
      <c r="E47" t="inlineStr">
        <is>
          <t>N</t>
        </is>
      </c>
      <c r="K47" t="inlineStr">
        <is>
          <t>MSU</t>
        </is>
      </c>
      <c r="L47" t="inlineStr">
        <is>
          <t>MSU</t>
        </is>
      </c>
    </row>
    <row r="48">
      <c r="A48" t="inlineStr">
        <is>
          <t>KAN</t>
        </is>
      </c>
      <c r="B48" t="inlineStr">
        <is>
          <t>Kansas</t>
        </is>
      </c>
      <c r="C48" t="inlineStr">
        <is>
          <t>Big 12</t>
        </is>
      </c>
      <c r="D48" t="inlineStr">
        <is>
          <t>FBS</t>
        </is>
      </c>
      <c r="E48" t="inlineStr">
        <is>
          <t>N</t>
        </is>
      </c>
      <c r="K48" t="inlineStr">
        <is>
          <t>Minnesota</t>
        </is>
      </c>
      <c r="L48" t="inlineStr">
        <is>
          <t>MINN</t>
        </is>
      </c>
    </row>
    <row r="49">
      <c r="A49" t="inlineStr">
        <is>
          <t>KSU</t>
        </is>
      </c>
      <c r="B49" t="inlineStr">
        <is>
          <t>Kansas State</t>
        </is>
      </c>
      <c r="C49" t="inlineStr">
        <is>
          <t>Big 12</t>
        </is>
      </c>
      <c r="D49" t="inlineStr">
        <is>
          <t>FBS</t>
        </is>
      </c>
      <c r="E49" t="inlineStr">
        <is>
          <t>N</t>
        </is>
      </c>
      <c r="K49" t="inlineStr">
        <is>
          <t>MINN</t>
        </is>
      </c>
      <c r="L49" t="inlineStr">
        <is>
          <t>MINN</t>
        </is>
      </c>
    </row>
    <row r="50">
      <c r="A50" t="inlineStr">
        <is>
          <t>OKST</t>
        </is>
      </c>
      <c r="B50" t="inlineStr">
        <is>
          <t>Oklahoma State</t>
        </is>
      </c>
      <c r="C50" t="inlineStr">
        <is>
          <t>Big 12</t>
        </is>
      </c>
      <c r="D50" t="inlineStr">
        <is>
          <t>FBS</t>
        </is>
      </c>
      <c r="E50" t="inlineStr">
        <is>
          <t>N</t>
        </is>
      </c>
      <c r="F50" t="inlineStr">
        <is>
          <t>OSU is AMBIGUOUS - blocked alias</t>
        </is>
      </c>
      <c r="K50" t="inlineStr">
        <is>
          <t>Nebraska</t>
        </is>
      </c>
      <c r="L50" t="inlineStr">
        <is>
          <t>NEB</t>
        </is>
      </c>
    </row>
    <row r="51">
      <c r="A51" t="inlineStr">
        <is>
          <t>TCU</t>
        </is>
      </c>
      <c r="B51" t="inlineStr">
        <is>
          <t>TCU</t>
        </is>
      </c>
      <c r="C51" t="inlineStr">
        <is>
          <t>Big 12</t>
        </is>
      </c>
      <c r="D51" t="inlineStr">
        <is>
          <t>FBS</t>
        </is>
      </c>
      <c r="E51" t="inlineStr">
        <is>
          <t>N</t>
        </is>
      </c>
      <c r="K51" t="inlineStr">
        <is>
          <t>NEB</t>
        </is>
      </c>
      <c r="L51" t="inlineStr">
        <is>
          <t>NEB</t>
        </is>
      </c>
    </row>
    <row r="52">
      <c r="A52" t="inlineStr">
        <is>
          <t>TTU</t>
        </is>
      </c>
      <c r="B52" t="inlineStr">
        <is>
          <t>Texas Tech</t>
        </is>
      </c>
      <c r="C52" t="inlineStr">
        <is>
          <t>Big 12</t>
        </is>
      </c>
      <c r="D52" t="inlineStr">
        <is>
          <t>FBS</t>
        </is>
      </c>
      <c r="E52" t="inlineStr">
        <is>
          <t>N</t>
        </is>
      </c>
      <c r="K52" t="inlineStr">
        <is>
          <t>Northwestern</t>
        </is>
      </c>
      <c r="L52" t="inlineStr">
        <is>
          <t>NW</t>
        </is>
      </c>
    </row>
    <row r="53">
      <c r="A53" t="inlineStr">
        <is>
          <t>UCF</t>
        </is>
      </c>
      <c r="B53" t="inlineStr">
        <is>
          <t>UCF</t>
        </is>
      </c>
      <c r="C53" t="inlineStr">
        <is>
          <t>Big 12</t>
        </is>
      </c>
      <c r="D53" t="inlineStr">
        <is>
          <t>FBS</t>
        </is>
      </c>
      <c r="E53" t="inlineStr">
        <is>
          <t>N</t>
        </is>
      </c>
      <c r="K53" t="inlineStr">
        <is>
          <t>NW</t>
        </is>
      </c>
      <c r="L53" t="inlineStr">
        <is>
          <t>NW</t>
        </is>
      </c>
    </row>
    <row r="54">
      <c r="A54" t="inlineStr">
        <is>
          <t>UTAH</t>
        </is>
      </c>
      <c r="B54" t="inlineStr">
        <is>
          <t>Utah</t>
        </is>
      </c>
      <c r="C54" t="inlineStr">
        <is>
          <t>Big 12</t>
        </is>
      </c>
      <c r="D54" t="inlineStr">
        <is>
          <t>FBS</t>
        </is>
      </c>
      <c r="E54" t="inlineStr">
        <is>
          <t>N</t>
        </is>
      </c>
      <c r="K54" t="inlineStr">
        <is>
          <t>Ohio State</t>
        </is>
      </c>
      <c r="L54" t="inlineStr">
        <is>
          <t>OHST</t>
        </is>
      </c>
    </row>
    <row r="55">
      <c r="A55" t="inlineStr">
        <is>
          <t>WVU</t>
        </is>
      </c>
      <c r="B55" t="inlineStr">
        <is>
          <t>West Virginia</t>
        </is>
      </c>
      <c r="C55" t="inlineStr">
        <is>
          <t>Big 12</t>
        </is>
      </c>
      <c r="D55" t="inlineStr">
        <is>
          <t>FBS</t>
        </is>
      </c>
      <c r="E55" t="inlineStr">
        <is>
          <t>N</t>
        </is>
      </c>
      <c r="K55" t="inlineStr">
        <is>
          <t>OHST</t>
        </is>
      </c>
      <c r="L55" t="inlineStr">
        <is>
          <t>OHST</t>
        </is>
      </c>
    </row>
    <row r="56">
      <c r="A56" t="inlineStr">
        <is>
          <t>BC</t>
        </is>
      </c>
      <c r="B56" t="inlineStr">
        <is>
          <t>Boston College</t>
        </is>
      </c>
      <c r="C56" t="inlineStr">
        <is>
          <t>ACC</t>
        </is>
      </c>
      <c r="D56" t="inlineStr">
        <is>
          <t>FBS</t>
        </is>
      </c>
      <c r="E56" t="inlineStr">
        <is>
          <t>N</t>
        </is>
      </c>
      <c r="K56" t="inlineStr">
        <is>
          <t>Oregon</t>
        </is>
      </c>
      <c r="L56" t="inlineStr">
        <is>
          <t>ORE</t>
        </is>
      </c>
    </row>
    <row r="57">
      <c r="A57" t="inlineStr">
        <is>
          <t>CAL</t>
        </is>
      </c>
      <c r="B57" t="inlineStr">
        <is>
          <t>California</t>
        </is>
      </c>
      <c r="C57" t="inlineStr">
        <is>
          <t>ACC</t>
        </is>
      </c>
      <c r="D57" t="inlineStr">
        <is>
          <t>FBS</t>
        </is>
      </c>
      <c r="E57" t="inlineStr">
        <is>
          <t>N</t>
        </is>
      </c>
      <c r="K57" t="inlineStr">
        <is>
          <t>ORE</t>
        </is>
      </c>
      <c r="L57" t="inlineStr">
        <is>
          <t>ORE</t>
        </is>
      </c>
    </row>
    <row r="58">
      <c r="A58" t="inlineStr">
        <is>
          <t>CLEM</t>
        </is>
      </c>
      <c r="B58" t="inlineStr">
        <is>
          <t>Clemson</t>
        </is>
      </c>
      <c r="C58" t="inlineStr">
        <is>
          <t>ACC</t>
        </is>
      </c>
      <c r="D58" t="inlineStr">
        <is>
          <t>FBS</t>
        </is>
      </c>
      <c r="E58" t="inlineStr">
        <is>
          <t>N</t>
        </is>
      </c>
      <c r="K58" t="inlineStr">
        <is>
          <t>Penn State</t>
        </is>
      </c>
      <c r="L58" t="inlineStr">
        <is>
          <t>PSU</t>
        </is>
      </c>
    </row>
    <row r="59">
      <c r="A59" t="inlineStr">
        <is>
          <t>DUKE</t>
        </is>
      </c>
      <c r="B59" t="inlineStr">
        <is>
          <t>Duke</t>
        </is>
      </c>
      <c r="C59" t="inlineStr">
        <is>
          <t>ACC</t>
        </is>
      </c>
      <c r="D59" t="inlineStr">
        <is>
          <t>FBS</t>
        </is>
      </c>
      <c r="E59" t="inlineStr">
        <is>
          <t>N</t>
        </is>
      </c>
      <c r="K59" t="inlineStr">
        <is>
          <t>PSU</t>
        </is>
      </c>
      <c r="L59" t="inlineStr">
        <is>
          <t>PSU</t>
        </is>
      </c>
    </row>
    <row r="60">
      <c r="A60" t="inlineStr">
        <is>
          <t>FSU</t>
        </is>
      </c>
      <c r="B60" t="inlineStr">
        <is>
          <t>Florida State</t>
        </is>
      </c>
      <c r="C60" t="inlineStr">
        <is>
          <t>ACC</t>
        </is>
      </c>
      <c r="D60" t="inlineStr">
        <is>
          <t>FBS</t>
        </is>
      </c>
      <c r="E60" t="inlineStr">
        <is>
          <t>N</t>
        </is>
      </c>
      <c r="K60" t="inlineStr">
        <is>
          <t>Purdue</t>
        </is>
      </c>
      <c r="L60" t="inlineStr">
        <is>
          <t>PUR</t>
        </is>
      </c>
    </row>
    <row r="61">
      <c r="A61" t="inlineStr">
        <is>
          <t>GT</t>
        </is>
      </c>
      <c r="B61" t="inlineStr">
        <is>
          <t>Georgia Tech</t>
        </is>
      </c>
      <c r="C61" t="inlineStr">
        <is>
          <t>ACC</t>
        </is>
      </c>
      <c r="D61" t="inlineStr">
        <is>
          <t>FBS</t>
        </is>
      </c>
      <c r="E61" t="inlineStr">
        <is>
          <t>N</t>
        </is>
      </c>
      <c r="K61" t="inlineStr">
        <is>
          <t>PUR</t>
        </is>
      </c>
      <c r="L61" t="inlineStr">
        <is>
          <t>PUR</t>
        </is>
      </c>
    </row>
    <row r="62">
      <c r="A62" t="inlineStr">
        <is>
          <t>LOU</t>
        </is>
      </c>
      <c r="B62" t="inlineStr">
        <is>
          <t>Louisville</t>
        </is>
      </c>
      <c r="C62" t="inlineStr">
        <is>
          <t>ACC</t>
        </is>
      </c>
      <c r="D62" t="inlineStr">
        <is>
          <t>FBS</t>
        </is>
      </c>
      <c r="E62" t="inlineStr">
        <is>
          <t>N</t>
        </is>
      </c>
      <c r="F62" t="inlineStr">
        <is>
          <t>UL is AMBIGUOUS - blocked alias</t>
        </is>
      </c>
      <c r="K62" t="inlineStr">
        <is>
          <t>Rutgers</t>
        </is>
      </c>
      <c r="L62" t="inlineStr">
        <is>
          <t>RUTG</t>
        </is>
      </c>
    </row>
    <row r="63">
      <c r="A63" t="inlineStr">
        <is>
          <t>MIA</t>
        </is>
      </c>
      <c r="B63" t="inlineStr">
        <is>
          <t>Miami</t>
        </is>
      </c>
      <c r="C63" t="inlineStr">
        <is>
          <t>ACC</t>
        </is>
      </c>
      <c r="D63" t="inlineStr">
        <is>
          <t>FBS</t>
        </is>
      </c>
      <c r="E63" t="inlineStr">
        <is>
          <t>N</t>
        </is>
      </c>
      <c r="F63" t="inlineStr">
        <is>
          <t>CFBD name: Miami. UM blocked</t>
        </is>
      </c>
      <c r="K63" t="inlineStr">
        <is>
          <t>RUTG</t>
        </is>
      </c>
      <c r="L63" t="inlineStr">
        <is>
          <t>RUTG</t>
        </is>
      </c>
    </row>
    <row r="64">
      <c r="A64" t="inlineStr">
        <is>
          <t>NCST</t>
        </is>
      </c>
      <c r="B64" t="inlineStr">
        <is>
          <t>NC State</t>
        </is>
      </c>
      <c r="C64" t="inlineStr">
        <is>
          <t>ACC</t>
        </is>
      </c>
      <c r="D64" t="inlineStr">
        <is>
          <t>FBS</t>
        </is>
      </c>
      <c r="E64" t="inlineStr">
        <is>
          <t>N</t>
        </is>
      </c>
      <c r="K64" t="inlineStr">
        <is>
          <t>UCLA</t>
        </is>
      </c>
      <c r="L64" t="inlineStr">
        <is>
          <t>UCLA</t>
        </is>
      </c>
    </row>
    <row r="65">
      <c r="A65" t="inlineStr">
        <is>
          <t>UNC</t>
        </is>
      </c>
      <c r="B65" t="inlineStr">
        <is>
          <t>North Carolina</t>
        </is>
      </c>
      <c r="C65" t="inlineStr">
        <is>
          <t>ACC</t>
        </is>
      </c>
      <c r="D65" t="inlineStr">
        <is>
          <t>FBS</t>
        </is>
      </c>
      <c r="E65" t="inlineStr">
        <is>
          <t>N</t>
        </is>
      </c>
      <c r="K65" t="inlineStr">
        <is>
          <t>USC</t>
        </is>
      </c>
      <c r="L65" t="inlineStr">
        <is>
          <t>USC</t>
        </is>
      </c>
    </row>
    <row r="66">
      <c r="A66" t="inlineStr">
        <is>
          <t>PITT</t>
        </is>
      </c>
      <c r="B66" t="inlineStr">
        <is>
          <t>Pittsburgh</t>
        </is>
      </c>
      <c r="C66" t="inlineStr">
        <is>
          <t>ACC</t>
        </is>
      </c>
      <c r="D66" t="inlineStr">
        <is>
          <t>FBS</t>
        </is>
      </c>
      <c r="E66" t="inlineStr">
        <is>
          <t>N</t>
        </is>
      </c>
      <c r="K66" t="inlineStr">
        <is>
          <t>Washington</t>
        </is>
      </c>
      <c r="L66" t="inlineStr">
        <is>
          <t>WASH</t>
        </is>
      </c>
    </row>
    <row r="67">
      <c r="A67" t="inlineStr">
        <is>
          <t>SMU</t>
        </is>
      </c>
      <c r="B67" t="inlineStr">
        <is>
          <t>SMU</t>
        </is>
      </c>
      <c r="C67" t="inlineStr">
        <is>
          <t>ACC</t>
        </is>
      </c>
      <c r="D67" t="inlineStr">
        <is>
          <t>FBS</t>
        </is>
      </c>
      <c r="E67" t="inlineStr">
        <is>
          <t>N</t>
        </is>
      </c>
      <c r="K67" t="inlineStr">
        <is>
          <t>WASH</t>
        </is>
      </c>
      <c r="L67" t="inlineStr">
        <is>
          <t>WASH</t>
        </is>
      </c>
    </row>
    <row r="68">
      <c r="A68" t="inlineStr">
        <is>
          <t>STAN</t>
        </is>
      </c>
      <c r="B68" t="inlineStr">
        <is>
          <t>Stanford</t>
        </is>
      </c>
      <c r="C68" t="inlineStr">
        <is>
          <t>ACC</t>
        </is>
      </c>
      <c r="D68" t="inlineStr">
        <is>
          <t>FBS</t>
        </is>
      </c>
      <c r="E68" t="inlineStr">
        <is>
          <t>N</t>
        </is>
      </c>
      <c r="K68" t="inlineStr">
        <is>
          <t>Wisconsin</t>
        </is>
      </c>
      <c r="L68" t="inlineStr">
        <is>
          <t>WISC</t>
        </is>
      </c>
    </row>
    <row r="69">
      <c r="A69" t="inlineStr">
        <is>
          <t>SYR</t>
        </is>
      </c>
      <c r="B69" t="inlineStr">
        <is>
          <t>Syracuse</t>
        </is>
      </c>
      <c r="C69" t="inlineStr">
        <is>
          <t>ACC</t>
        </is>
      </c>
      <c r="D69" t="inlineStr">
        <is>
          <t>FBS</t>
        </is>
      </c>
      <c r="E69" t="inlineStr">
        <is>
          <t>N</t>
        </is>
      </c>
      <c r="K69" t="inlineStr">
        <is>
          <t>WISC</t>
        </is>
      </c>
      <c r="L69" t="inlineStr">
        <is>
          <t>WISC</t>
        </is>
      </c>
    </row>
    <row r="70">
      <c r="A70" t="inlineStr">
        <is>
          <t>UVA</t>
        </is>
      </c>
      <c r="B70" t="inlineStr">
        <is>
          <t>Virginia</t>
        </is>
      </c>
      <c r="C70" t="inlineStr">
        <is>
          <t>ACC</t>
        </is>
      </c>
      <c r="D70" t="inlineStr">
        <is>
          <t>FBS</t>
        </is>
      </c>
      <c r="E70" t="inlineStr">
        <is>
          <t>N</t>
        </is>
      </c>
      <c r="K70" t="inlineStr">
        <is>
          <t>Arizona</t>
        </is>
      </c>
      <c r="L70" t="inlineStr">
        <is>
          <t>ARIZ</t>
        </is>
      </c>
    </row>
    <row r="71">
      <c r="A71" t="inlineStr">
        <is>
          <t>VT</t>
        </is>
      </c>
      <c r="B71" t="inlineStr">
        <is>
          <t>Virginia Tech</t>
        </is>
      </c>
      <c r="C71" t="inlineStr">
        <is>
          <t>ACC</t>
        </is>
      </c>
      <c r="D71" t="inlineStr">
        <is>
          <t>FBS</t>
        </is>
      </c>
      <c r="E71" t="inlineStr">
        <is>
          <t>N</t>
        </is>
      </c>
      <c r="K71" t="inlineStr">
        <is>
          <t>ARIZ</t>
        </is>
      </c>
      <c r="L71" t="inlineStr">
        <is>
          <t>ARIZ</t>
        </is>
      </c>
    </row>
    <row r="72">
      <c r="A72" t="inlineStr">
        <is>
          <t>WAKE</t>
        </is>
      </c>
      <c r="B72" t="inlineStr">
        <is>
          <t>Wake Forest</t>
        </is>
      </c>
      <c r="C72" t="inlineStr">
        <is>
          <t>ACC</t>
        </is>
      </c>
      <c r="D72" t="inlineStr">
        <is>
          <t>FBS</t>
        </is>
      </c>
      <c r="E72" t="inlineStr">
        <is>
          <t>N</t>
        </is>
      </c>
      <c r="K72" t="inlineStr">
        <is>
          <t>Arizona State</t>
        </is>
      </c>
      <c r="L72" t="inlineStr">
        <is>
          <t>AZST</t>
        </is>
      </c>
    </row>
    <row r="73">
      <c r="A73" t="inlineStr">
        <is>
          <t>BSU</t>
        </is>
      </c>
      <c r="B73" t="inlineStr">
        <is>
          <t>Boise State</t>
        </is>
      </c>
      <c r="C73" t="inlineStr">
        <is>
          <t>Pac-12</t>
        </is>
      </c>
      <c r="D73" t="inlineStr">
        <is>
          <t>FBS</t>
        </is>
      </c>
      <c r="E73" t="inlineStr">
        <is>
          <t>N</t>
        </is>
      </c>
      <c r="F73" t="inlineStr">
        <is>
          <t>Joined Pac-12 7/1/2026 (from MWC)</t>
        </is>
      </c>
      <c r="K73" t="inlineStr">
        <is>
          <t>AZST</t>
        </is>
      </c>
      <c r="L73" t="inlineStr">
        <is>
          <t>AZST</t>
        </is>
      </c>
    </row>
    <row r="74">
      <c r="A74" t="inlineStr">
        <is>
          <t>CSU</t>
        </is>
      </c>
      <c r="B74" t="inlineStr">
        <is>
          <t>Colorado State</t>
        </is>
      </c>
      <c r="C74" t="inlineStr">
        <is>
          <t>Pac-12</t>
        </is>
      </c>
      <c r="D74" t="inlineStr">
        <is>
          <t>FBS</t>
        </is>
      </c>
      <c r="E74" t="inlineStr">
        <is>
          <t>N</t>
        </is>
      </c>
      <c r="F74" t="inlineStr">
        <is>
          <t>Joined Pac-12 7/1/2026 (from MWC)</t>
        </is>
      </c>
      <c r="K74" t="inlineStr">
        <is>
          <t>Baylor</t>
        </is>
      </c>
      <c r="L74" t="inlineStr">
        <is>
          <t>BAY</t>
        </is>
      </c>
    </row>
    <row r="75">
      <c r="A75" t="inlineStr">
        <is>
          <t>FRES</t>
        </is>
      </c>
      <c r="B75" t="inlineStr">
        <is>
          <t>Fresno State</t>
        </is>
      </c>
      <c r="C75" t="inlineStr">
        <is>
          <t>Pac-12</t>
        </is>
      </c>
      <c r="D75" t="inlineStr">
        <is>
          <t>FBS</t>
        </is>
      </c>
      <c r="E75" t="inlineStr">
        <is>
          <t>N</t>
        </is>
      </c>
      <c r="F75" t="inlineStr">
        <is>
          <t>Joined Pac-12 7/1/2026 (from MWC)</t>
        </is>
      </c>
      <c r="K75" t="inlineStr">
        <is>
          <t>BAY</t>
        </is>
      </c>
      <c r="L75" t="inlineStr">
        <is>
          <t>BAY</t>
        </is>
      </c>
    </row>
    <row r="76">
      <c r="A76" t="inlineStr">
        <is>
          <t>ORST</t>
        </is>
      </c>
      <c r="B76" t="inlineStr">
        <is>
          <t>Oregon State</t>
        </is>
      </c>
      <c r="C76" t="inlineStr">
        <is>
          <t>Pac-12</t>
        </is>
      </c>
      <c r="D76" t="inlineStr">
        <is>
          <t>FBS</t>
        </is>
      </c>
      <c r="E76" t="inlineStr">
        <is>
          <t>N</t>
        </is>
      </c>
      <c r="F76" t="inlineStr">
        <is>
          <t>OSU is AMBIGUOUS - blocked alias</t>
        </is>
      </c>
      <c r="K76" t="inlineStr">
        <is>
          <t>BYU</t>
        </is>
      </c>
      <c r="L76" t="inlineStr">
        <is>
          <t>BYU</t>
        </is>
      </c>
    </row>
    <row r="77">
      <c r="A77" t="inlineStr">
        <is>
          <t>SDSU</t>
        </is>
      </c>
      <c r="B77" t="inlineStr">
        <is>
          <t>San Diego State</t>
        </is>
      </c>
      <c r="C77" t="inlineStr">
        <is>
          <t>Pac-12</t>
        </is>
      </c>
      <c r="D77" t="inlineStr">
        <is>
          <t>FBS</t>
        </is>
      </c>
      <c r="E77" t="inlineStr">
        <is>
          <t>N</t>
        </is>
      </c>
      <c r="F77" t="inlineStr">
        <is>
          <t>Joined Pac-12 7/1/2026 (from MWC)</t>
        </is>
      </c>
      <c r="K77" t="inlineStr">
        <is>
          <t>Cincinnati</t>
        </is>
      </c>
      <c r="L77" t="inlineStr">
        <is>
          <t>CIN</t>
        </is>
      </c>
    </row>
    <row r="78">
      <c r="A78" t="inlineStr">
        <is>
          <t>TXST</t>
        </is>
      </c>
      <c r="B78" t="inlineStr">
        <is>
          <t>Texas State</t>
        </is>
      </c>
      <c r="C78" t="inlineStr">
        <is>
          <t>Pac-12</t>
        </is>
      </c>
      <c r="D78" t="inlineStr">
        <is>
          <t>FBS</t>
        </is>
      </c>
      <c r="E78" t="inlineStr">
        <is>
          <t>N</t>
        </is>
      </c>
      <c r="F78" t="inlineStr">
        <is>
          <t>Joined Pac-12 7/1/2026 (from Sun Belt)</t>
        </is>
      </c>
      <c r="K78" t="inlineStr">
        <is>
          <t>CIN</t>
        </is>
      </c>
      <c r="L78" t="inlineStr">
        <is>
          <t>CIN</t>
        </is>
      </c>
    </row>
    <row r="79">
      <c r="A79" t="inlineStr">
        <is>
          <t>USU</t>
        </is>
      </c>
      <c r="B79" t="inlineStr">
        <is>
          <t>Utah State</t>
        </is>
      </c>
      <c r="C79" t="inlineStr">
        <is>
          <t>Pac-12</t>
        </is>
      </c>
      <c r="D79" t="inlineStr">
        <is>
          <t>FBS</t>
        </is>
      </c>
      <c r="E79" t="inlineStr">
        <is>
          <t>N</t>
        </is>
      </c>
      <c r="F79" t="inlineStr">
        <is>
          <t>Joined Pac-12 7/1/2026 (from MWC)</t>
        </is>
      </c>
      <c r="K79" t="inlineStr">
        <is>
          <t>Colorado</t>
        </is>
      </c>
      <c r="L79" t="inlineStr">
        <is>
          <t>COLO</t>
        </is>
      </c>
    </row>
    <row r="80">
      <c r="A80" t="inlineStr">
        <is>
          <t>WSU</t>
        </is>
      </c>
      <c r="B80" t="inlineStr">
        <is>
          <t>Washington State</t>
        </is>
      </c>
      <c r="C80" t="inlineStr">
        <is>
          <t>Pac-12</t>
        </is>
      </c>
      <c r="D80" t="inlineStr">
        <is>
          <t>FBS</t>
        </is>
      </c>
      <c r="E80" t="inlineStr">
        <is>
          <t>N</t>
        </is>
      </c>
      <c r="K80" t="inlineStr">
        <is>
          <t>COLO</t>
        </is>
      </c>
      <c r="L80" t="inlineStr">
        <is>
          <t>COLO</t>
        </is>
      </c>
    </row>
    <row r="81">
      <c r="A81" t="inlineStr">
        <is>
          <t>ARMY</t>
        </is>
      </c>
      <c r="B81" t="inlineStr">
        <is>
          <t>Army</t>
        </is>
      </c>
      <c r="C81" t="inlineStr">
        <is>
          <t>American</t>
        </is>
      </c>
      <c r="D81" t="inlineStr">
        <is>
          <t>FBS</t>
        </is>
      </c>
      <c r="E81" t="inlineStr">
        <is>
          <t>N</t>
        </is>
      </c>
      <c r="F81" t="inlineStr">
        <is>
          <t>Football-only AAC member</t>
        </is>
      </c>
      <c r="K81" t="inlineStr">
        <is>
          <t>Houston</t>
        </is>
      </c>
      <c r="L81" t="inlineStr">
        <is>
          <t>HOU</t>
        </is>
      </c>
    </row>
    <row r="82">
      <c r="A82" t="inlineStr">
        <is>
          <t>CLT</t>
        </is>
      </c>
      <c r="B82" t="inlineStr">
        <is>
          <t>Charlotte</t>
        </is>
      </c>
      <c r="C82" t="inlineStr">
        <is>
          <t>American</t>
        </is>
      </c>
      <c r="D82" t="inlineStr">
        <is>
          <t>FBS</t>
        </is>
      </c>
      <c r="E82" t="inlineStr">
        <is>
          <t>N</t>
        </is>
      </c>
      <c r="K82" t="inlineStr">
        <is>
          <t>HOU</t>
        </is>
      </c>
      <c r="L82" t="inlineStr">
        <is>
          <t>HOU</t>
        </is>
      </c>
    </row>
    <row r="83">
      <c r="A83" t="inlineStr">
        <is>
          <t>ECU</t>
        </is>
      </c>
      <c r="B83" t="inlineStr">
        <is>
          <t>East Carolina</t>
        </is>
      </c>
      <c r="C83" t="inlineStr">
        <is>
          <t>American</t>
        </is>
      </c>
      <c r="D83" t="inlineStr">
        <is>
          <t>FBS</t>
        </is>
      </c>
      <c r="E83" t="inlineStr">
        <is>
          <t>N</t>
        </is>
      </c>
      <c r="K83" t="inlineStr">
        <is>
          <t>Iowa State</t>
        </is>
      </c>
      <c r="L83" t="inlineStr">
        <is>
          <t>ISU</t>
        </is>
      </c>
    </row>
    <row r="84">
      <c r="A84" t="inlineStr">
        <is>
          <t>FAU</t>
        </is>
      </c>
      <c r="B84" t="inlineStr">
        <is>
          <t>Florida Atlantic</t>
        </is>
      </c>
      <c r="C84" t="inlineStr">
        <is>
          <t>American</t>
        </is>
      </c>
      <c r="D84" t="inlineStr">
        <is>
          <t>FBS</t>
        </is>
      </c>
      <c r="E84" t="inlineStr">
        <is>
          <t>N</t>
        </is>
      </c>
      <c r="K84" t="inlineStr">
        <is>
          <t>ISU</t>
        </is>
      </c>
      <c r="L84" t="inlineStr">
        <is>
          <t>ISU</t>
        </is>
      </c>
    </row>
    <row r="85">
      <c r="A85" t="inlineStr">
        <is>
          <t>MEM</t>
        </is>
      </c>
      <c r="B85" t="inlineStr">
        <is>
          <t>Memphis</t>
        </is>
      </c>
      <c r="C85" t="inlineStr">
        <is>
          <t>American</t>
        </is>
      </c>
      <c r="D85" t="inlineStr">
        <is>
          <t>FBS</t>
        </is>
      </c>
      <c r="E85" t="inlineStr">
        <is>
          <t>N</t>
        </is>
      </c>
      <c r="K85" t="inlineStr">
        <is>
          <t>Kansas</t>
        </is>
      </c>
      <c r="L85" t="inlineStr">
        <is>
          <t>KAN</t>
        </is>
      </c>
    </row>
    <row r="86">
      <c r="A86" t="inlineStr">
        <is>
          <t>NAVY</t>
        </is>
      </c>
      <c r="B86" t="inlineStr">
        <is>
          <t>Navy</t>
        </is>
      </c>
      <c r="C86" t="inlineStr">
        <is>
          <t>American</t>
        </is>
      </c>
      <c r="D86" t="inlineStr">
        <is>
          <t>FBS</t>
        </is>
      </c>
      <c r="E86" t="inlineStr">
        <is>
          <t>N</t>
        </is>
      </c>
      <c r="K86" t="inlineStr">
        <is>
          <t>KAN</t>
        </is>
      </c>
      <c r="L86" t="inlineStr">
        <is>
          <t>KAN</t>
        </is>
      </c>
    </row>
    <row r="87">
      <c r="A87" t="inlineStr">
        <is>
          <t>UNT</t>
        </is>
      </c>
      <c r="B87" t="inlineStr">
        <is>
          <t>North Texas</t>
        </is>
      </c>
      <c r="C87" t="inlineStr">
        <is>
          <t>American</t>
        </is>
      </c>
      <c r="D87" t="inlineStr">
        <is>
          <t>FBS</t>
        </is>
      </c>
      <c r="E87" t="inlineStr">
        <is>
          <t>N</t>
        </is>
      </c>
      <c r="K87" t="inlineStr">
        <is>
          <t>Kansas State</t>
        </is>
      </c>
      <c r="L87" t="inlineStr">
        <is>
          <t>KSU</t>
        </is>
      </c>
    </row>
    <row r="88">
      <c r="A88" t="inlineStr">
        <is>
          <t>RICE</t>
        </is>
      </c>
      <c r="B88" t="inlineStr">
        <is>
          <t>Rice</t>
        </is>
      </c>
      <c r="C88" t="inlineStr">
        <is>
          <t>American</t>
        </is>
      </c>
      <c r="D88" t="inlineStr">
        <is>
          <t>FBS</t>
        </is>
      </c>
      <c r="E88" t="inlineStr">
        <is>
          <t>N</t>
        </is>
      </c>
      <c r="K88" t="inlineStr">
        <is>
          <t>KSU</t>
        </is>
      </c>
      <c r="L88" t="inlineStr">
        <is>
          <t>KSU</t>
        </is>
      </c>
    </row>
    <row r="89">
      <c r="A89" t="inlineStr">
        <is>
          <t>USF</t>
        </is>
      </c>
      <c r="B89" t="inlineStr">
        <is>
          <t>South Florida</t>
        </is>
      </c>
      <c r="C89" t="inlineStr">
        <is>
          <t>American</t>
        </is>
      </c>
      <c r="D89" t="inlineStr">
        <is>
          <t>FBS</t>
        </is>
      </c>
      <c r="E89" t="inlineStr">
        <is>
          <t>N</t>
        </is>
      </c>
      <c r="K89" t="inlineStr">
        <is>
          <t>Oklahoma State</t>
        </is>
      </c>
      <c r="L89" t="inlineStr">
        <is>
          <t>OKST</t>
        </is>
      </c>
    </row>
    <row r="90">
      <c r="A90" t="inlineStr">
        <is>
          <t>TEM</t>
        </is>
      </c>
      <c r="B90" t="inlineStr">
        <is>
          <t>Temple</t>
        </is>
      </c>
      <c r="C90" t="inlineStr">
        <is>
          <t>American</t>
        </is>
      </c>
      <c r="D90" t="inlineStr">
        <is>
          <t>FBS</t>
        </is>
      </c>
      <c r="E90" t="inlineStr">
        <is>
          <t>N</t>
        </is>
      </c>
      <c r="K90" t="inlineStr">
        <is>
          <t>OKST</t>
        </is>
      </c>
      <c r="L90" t="inlineStr">
        <is>
          <t>OKST</t>
        </is>
      </c>
    </row>
    <row r="91">
      <c r="A91" t="inlineStr">
        <is>
          <t>TULN</t>
        </is>
      </c>
      <c r="B91" t="inlineStr">
        <is>
          <t>Tulane</t>
        </is>
      </c>
      <c r="C91" t="inlineStr">
        <is>
          <t>American</t>
        </is>
      </c>
      <c r="D91" t="inlineStr">
        <is>
          <t>FBS</t>
        </is>
      </c>
      <c r="E91" t="inlineStr">
        <is>
          <t>N</t>
        </is>
      </c>
      <c r="K91" t="inlineStr">
        <is>
          <t>TCU</t>
        </is>
      </c>
      <c r="L91" t="inlineStr">
        <is>
          <t>TCU</t>
        </is>
      </c>
    </row>
    <row r="92">
      <c r="A92" t="inlineStr">
        <is>
          <t>TLSA</t>
        </is>
      </c>
      <c r="B92" t="inlineStr">
        <is>
          <t>Tulsa</t>
        </is>
      </c>
      <c r="C92" t="inlineStr">
        <is>
          <t>American</t>
        </is>
      </c>
      <c r="D92" t="inlineStr">
        <is>
          <t>FBS</t>
        </is>
      </c>
      <c r="E92" t="inlineStr">
        <is>
          <t>N</t>
        </is>
      </c>
      <c r="K92" t="inlineStr">
        <is>
          <t>Texas Tech</t>
        </is>
      </c>
      <c r="L92" t="inlineStr">
        <is>
          <t>TTU</t>
        </is>
      </c>
    </row>
    <row r="93">
      <c r="A93" t="inlineStr">
        <is>
          <t>UAB</t>
        </is>
      </c>
      <c r="B93" t="inlineStr">
        <is>
          <t>UAB</t>
        </is>
      </c>
      <c r="C93" t="inlineStr">
        <is>
          <t>American</t>
        </is>
      </c>
      <c r="D93" t="inlineStr">
        <is>
          <t>FBS</t>
        </is>
      </c>
      <c r="E93" t="inlineStr">
        <is>
          <t>N</t>
        </is>
      </c>
      <c r="K93" t="inlineStr">
        <is>
          <t>TTU</t>
        </is>
      </c>
      <c r="L93" t="inlineStr">
        <is>
          <t>TTU</t>
        </is>
      </c>
    </row>
    <row r="94">
      <c r="A94" t="inlineStr">
        <is>
          <t>UTSA</t>
        </is>
      </c>
      <c r="B94" t="inlineStr">
        <is>
          <t>UTSA</t>
        </is>
      </c>
      <c r="C94" t="inlineStr">
        <is>
          <t>American</t>
        </is>
      </c>
      <c r="D94" t="inlineStr">
        <is>
          <t>FBS</t>
        </is>
      </c>
      <c r="E94" t="inlineStr">
        <is>
          <t>N</t>
        </is>
      </c>
      <c r="K94" t="inlineStr">
        <is>
          <t>UCF</t>
        </is>
      </c>
      <c r="L94" t="inlineStr">
        <is>
          <t>UCF</t>
        </is>
      </c>
    </row>
    <row r="95">
      <c r="A95" t="inlineStr">
        <is>
          <t>DEL</t>
        </is>
      </c>
      <c r="B95" t="inlineStr">
        <is>
          <t>Delaware</t>
        </is>
      </c>
      <c r="C95" t="inlineStr">
        <is>
          <t>Conference USA</t>
        </is>
      </c>
      <c r="D95" t="inlineStr">
        <is>
          <t>FBS</t>
        </is>
      </c>
      <c r="E95" t="inlineStr">
        <is>
          <t>N</t>
        </is>
      </c>
      <c r="F95" t="inlineStr">
        <is>
          <t>Reclassified to FBS in 2025; full FBS 2026</t>
        </is>
      </c>
      <c r="K95" t="inlineStr">
        <is>
          <t>Utah</t>
        </is>
      </c>
      <c r="L95" t="inlineStr">
        <is>
          <t>UTAH</t>
        </is>
      </c>
    </row>
    <row r="96">
      <c r="A96" t="inlineStr">
        <is>
          <t>FIU</t>
        </is>
      </c>
      <c r="B96" t="inlineStr">
        <is>
          <t>FIU</t>
        </is>
      </c>
      <c r="C96" t="inlineStr">
        <is>
          <t>Conference USA</t>
        </is>
      </c>
      <c r="D96" t="inlineStr">
        <is>
          <t>FBS</t>
        </is>
      </c>
      <c r="E96" t="inlineStr">
        <is>
          <t>N</t>
        </is>
      </c>
      <c r="K96" t="inlineStr">
        <is>
          <t>West Virginia</t>
        </is>
      </c>
      <c r="L96" t="inlineStr">
        <is>
          <t>WVU</t>
        </is>
      </c>
    </row>
    <row r="97">
      <c r="A97" t="inlineStr">
        <is>
          <t>JVST</t>
        </is>
      </c>
      <c r="B97" t="inlineStr">
        <is>
          <t>Jacksonville State</t>
        </is>
      </c>
      <c r="C97" t="inlineStr">
        <is>
          <t>Conference USA</t>
        </is>
      </c>
      <c r="D97" t="inlineStr">
        <is>
          <t>FBS</t>
        </is>
      </c>
      <c r="E97" t="inlineStr">
        <is>
          <t>N</t>
        </is>
      </c>
      <c r="K97" t="inlineStr">
        <is>
          <t>WVU</t>
        </is>
      </c>
      <c r="L97" t="inlineStr">
        <is>
          <t>WVU</t>
        </is>
      </c>
    </row>
    <row r="98">
      <c r="A98" t="inlineStr">
        <is>
          <t>KENN</t>
        </is>
      </c>
      <c r="B98" t="inlineStr">
        <is>
          <t>Kennesaw State</t>
        </is>
      </c>
      <c r="C98" t="inlineStr">
        <is>
          <t>Conference USA</t>
        </is>
      </c>
      <c r="D98" t="inlineStr">
        <is>
          <t>FBS</t>
        </is>
      </c>
      <c r="E98" t="inlineStr">
        <is>
          <t>N</t>
        </is>
      </c>
      <c r="K98" t="inlineStr">
        <is>
          <t>Boston College</t>
        </is>
      </c>
      <c r="L98" t="inlineStr">
        <is>
          <t>BC</t>
        </is>
      </c>
    </row>
    <row r="99">
      <c r="A99" t="inlineStr">
        <is>
          <t>LIB</t>
        </is>
      </c>
      <c r="B99" t="inlineStr">
        <is>
          <t>Liberty</t>
        </is>
      </c>
      <c r="C99" t="inlineStr">
        <is>
          <t>Conference USA</t>
        </is>
      </c>
      <c r="D99" t="inlineStr">
        <is>
          <t>FBS</t>
        </is>
      </c>
      <c r="E99" t="inlineStr">
        <is>
          <t>N</t>
        </is>
      </c>
      <c r="K99" t="inlineStr">
        <is>
          <t>BC</t>
        </is>
      </c>
      <c r="L99" t="inlineStr">
        <is>
          <t>BC</t>
        </is>
      </c>
    </row>
    <row r="100">
      <c r="A100" t="inlineStr">
        <is>
          <t>MTSU</t>
        </is>
      </c>
      <c r="B100" t="inlineStr">
        <is>
          <t>Middle Tennessee</t>
        </is>
      </c>
      <c r="C100" t="inlineStr">
        <is>
          <t>Conference USA</t>
        </is>
      </c>
      <c r="D100" t="inlineStr">
        <is>
          <t>FBS</t>
        </is>
      </c>
      <c r="E100" t="inlineStr">
        <is>
          <t>N</t>
        </is>
      </c>
      <c r="K100" t="inlineStr">
        <is>
          <t>California</t>
        </is>
      </c>
      <c r="L100" t="inlineStr">
        <is>
          <t>CAL</t>
        </is>
      </c>
    </row>
    <row r="101">
      <c r="A101" t="inlineStr">
        <is>
          <t>MOST</t>
        </is>
      </c>
      <c r="B101" t="inlineStr">
        <is>
          <t>Missouri State</t>
        </is>
      </c>
      <c r="C101" t="inlineStr">
        <is>
          <t>Conference USA</t>
        </is>
      </c>
      <c r="D101" t="inlineStr">
        <is>
          <t>FBS</t>
        </is>
      </c>
      <c r="E101" t="inlineStr">
        <is>
          <t>N</t>
        </is>
      </c>
      <c r="F101" t="inlineStr">
        <is>
          <t>Reclassified to FBS in 2025; full FBS 2026. MSU blocked</t>
        </is>
      </c>
      <c r="K101" t="inlineStr">
        <is>
          <t>CAL</t>
        </is>
      </c>
      <c r="L101" t="inlineStr">
        <is>
          <t>CAL</t>
        </is>
      </c>
    </row>
    <row r="102">
      <c r="A102" t="inlineStr">
        <is>
          <t>NMSU</t>
        </is>
      </c>
      <c r="B102" t="inlineStr">
        <is>
          <t>New Mexico State</t>
        </is>
      </c>
      <c r="C102" t="inlineStr">
        <is>
          <t>Conference USA</t>
        </is>
      </c>
      <c r="D102" t="inlineStr">
        <is>
          <t>FBS</t>
        </is>
      </c>
      <c r="E102" t="inlineStr">
        <is>
          <t>N</t>
        </is>
      </c>
      <c r="K102" t="inlineStr">
        <is>
          <t>Clemson</t>
        </is>
      </c>
      <c r="L102" t="inlineStr">
        <is>
          <t>CLEM</t>
        </is>
      </c>
    </row>
    <row r="103">
      <c r="A103" t="inlineStr">
        <is>
          <t>SHSU</t>
        </is>
      </c>
      <c r="B103" t="inlineStr">
        <is>
          <t>Sam Houston</t>
        </is>
      </c>
      <c r="C103" t="inlineStr">
        <is>
          <t>Conference USA</t>
        </is>
      </c>
      <c r="D103" t="inlineStr">
        <is>
          <t>FBS</t>
        </is>
      </c>
      <c r="E103" t="inlineStr">
        <is>
          <t>N</t>
        </is>
      </c>
      <c r="K103" t="inlineStr">
        <is>
          <t>CLEM</t>
        </is>
      </c>
      <c r="L103" t="inlineStr">
        <is>
          <t>CLEM</t>
        </is>
      </c>
    </row>
    <row r="104">
      <c r="A104" t="inlineStr">
        <is>
          <t>WKU</t>
        </is>
      </c>
      <c r="B104" t="inlineStr">
        <is>
          <t>Western Kentucky</t>
        </is>
      </c>
      <c r="C104" t="inlineStr">
        <is>
          <t>Conference USA</t>
        </is>
      </c>
      <c r="D104" t="inlineStr">
        <is>
          <t>FBS</t>
        </is>
      </c>
      <c r="E104" t="inlineStr">
        <is>
          <t>N</t>
        </is>
      </c>
      <c r="K104" t="inlineStr">
        <is>
          <t>Duke</t>
        </is>
      </c>
      <c r="L104" t="inlineStr">
        <is>
          <t>DUKE</t>
        </is>
      </c>
    </row>
    <row r="105">
      <c r="A105" t="inlineStr">
        <is>
          <t>AKR</t>
        </is>
      </c>
      <c r="B105" t="inlineStr">
        <is>
          <t>Akron</t>
        </is>
      </c>
      <c r="C105" t="inlineStr">
        <is>
          <t>MAC</t>
        </is>
      </c>
      <c r="D105" t="inlineStr">
        <is>
          <t>FBS</t>
        </is>
      </c>
      <c r="E105" t="inlineStr">
        <is>
          <t>N</t>
        </is>
      </c>
      <c r="K105" t="inlineStr">
        <is>
          <t>Florida State</t>
        </is>
      </c>
      <c r="L105" t="inlineStr">
        <is>
          <t>FSU</t>
        </is>
      </c>
    </row>
    <row r="106">
      <c r="A106" t="inlineStr">
        <is>
          <t>BALL</t>
        </is>
      </c>
      <c r="B106" t="inlineStr">
        <is>
          <t>Ball State</t>
        </is>
      </c>
      <c r="C106" t="inlineStr">
        <is>
          <t>MAC</t>
        </is>
      </c>
      <c r="D106" t="inlineStr">
        <is>
          <t>FBS</t>
        </is>
      </c>
      <c r="E106" t="inlineStr">
        <is>
          <t>N</t>
        </is>
      </c>
      <c r="K106" t="inlineStr">
        <is>
          <t>FSU</t>
        </is>
      </c>
      <c r="L106" t="inlineStr">
        <is>
          <t>FSU</t>
        </is>
      </c>
    </row>
    <row r="107">
      <c r="A107" t="inlineStr">
        <is>
          <t>BGSU</t>
        </is>
      </c>
      <c r="B107" t="inlineStr">
        <is>
          <t>Bowling Green</t>
        </is>
      </c>
      <c r="C107" t="inlineStr">
        <is>
          <t>MAC</t>
        </is>
      </c>
      <c r="D107" t="inlineStr">
        <is>
          <t>FBS</t>
        </is>
      </c>
      <c r="E107" t="inlineStr">
        <is>
          <t>N</t>
        </is>
      </c>
      <c r="K107" t="inlineStr">
        <is>
          <t>Georgia Tech</t>
        </is>
      </c>
      <c r="L107" t="inlineStr">
        <is>
          <t>GT</t>
        </is>
      </c>
    </row>
    <row r="108">
      <c r="A108" t="inlineStr">
        <is>
          <t>BUFF</t>
        </is>
      </c>
      <c r="B108" t="inlineStr">
        <is>
          <t>Buffalo</t>
        </is>
      </c>
      <c r="C108" t="inlineStr">
        <is>
          <t>MAC</t>
        </is>
      </c>
      <c r="D108" t="inlineStr">
        <is>
          <t>FBS</t>
        </is>
      </c>
      <c r="E108" t="inlineStr">
        <is>
          <t>N</t>
        </is>
      </c>
      <c r="K108" t="inlineStr">
        <is>
          <t>GT</t>
        </is>
      </c>
      <c r="L108" t="inlineStr">
        <is>
          <t>GT</t>
        </is>
      </c>
    </row>
    <row r="109">
      <c r="A109" t="inlineStr">
        <is>
          <t>CMU</t>
        </is>
      </c>
      <c r="B109" t="inlineStr">
        <is>
          <t>Central Michigan</t>
        </is>
      </c>
      <c r="C109" t="inlineStr">
        <is>
          <t>MAC</t>
        </is>
      </c>
      <c r="D109" t="inlineStr">
        <is>
          <t>FBS</t>
        </is>
      </c>
      <c r="E109" t="inlineStr">
        <is>
          <t>N</t>
        </is>
      </c>
      <c r="K109" t="inlineStr">
        <is>
          <t>Louisville</t>
        </is>
      </c>
      <c r="L109" t="inlineStr">
        <is>
          <t>LOU</t>
        </is>
      </c>
    </row>
    <row r="110">
      <c r="A110" t="inlineStr">
        <is>
          <t>EMU</t>
        </is>
      </c>
      <c r="B110" t="inlineStr">
        <is>
          <t>Eastern Michigan</t>
        </is>
      </c>
      <c r="C110" t="inlineStr">
        <is>
          <t>MAC</t>
        </is>
      </c>
      <c r="D110" t="inlineStr">
        <is>
          <t>FBS</t>
        </is>
      </c>
      <c r="E110" t="inlineStr">
        <is>
          <t>N</t>
        </is>
      </c>
      <c r="K110" t="inlineStr">
        <is>
          <t>LOU</t>
        </is>
      </c>
      <c r="L110" t="inlineStr">
        <is>
          <t>LOU</t>
        </is>
      </c>
    </row>
    <row r="111">
      <c r="A111" t="inlineStr">
        <is>
          <t>KENT</t>
        </is>
      </c>
      <c r="B111" t="inlineStr">
        <is>
          <t>Kent State</t>
        </is>
      </c>
      <c r="C111" t="inlineStr">
        <is>
          <t>MAC</t>
        </is>
      </c>
      <c r="D111" t="inlineStr">
        <is>
          <t>FBS</t>
        </is>
      </c>
      <c r="E111" t="inlineStr">
        <is>
          <t>N</t>
        </is>
      </c>
      <c r="K111" t="inlineStr">
        <is>
          <t>Miami</t>
        </is>
      </c>
      <c r="L111" t="inlineStr">
        <is>
          <t>MIA</t>
        </is>
      </c>
    </row>
    <row r="112">
      <c r="A112" t="inlineStr">
        <is>
          <t>M-OH</t>
        </is>
      </c>
      <c r="B112" t="inlineStr">
        <is>
          <t>Miami (OH)</t>
        </is>
      </c>
      <c r="C112" t="inlineStr">
        <is>
          <t>MAC</t>
        </is>
      </c>
      <c r="D112" t="inlineStr">
        <is>
          <t>FBS</t>
        </is>
      </c>
      <c r="E112" t="inlineStr">
        <is>
          <t>N</t>
        </is>
      </c>
      <c r="F112" t="inlineStr">
        <is>
          <t>Never map bare 'Miami' here</t>
        </is>
      </c>
      <c r="K112" t="inlineStr">
        <is>
          <t>MIA</t>
        </is>
      </c>
      <c r="L112" t="inlineStr">
        <is>
          <t>MIA</t>
        </is>
      </c>
    </row>
    <row r="113">
      <c r="A113" t="inlineStr">
        <is>
          <t>OHIO</t>
        </is>
      </c>
      <c r="B113" t="inlineStr">
        <is>
          <t>Ohio</t>
        </is>
      </c>
      <c r="C113" t="inlineStr">
        <is>
          <t>MAC</t>
        </is>
      </c>
      <c r="D113" t="inlineStr">
        <is>
          <t>FBS</t>
        </is>
      </c>
      <c r="E113" t="inlineStr">
        <is>
          <t>N</t>
        </is>
      </c>
      <c r="F113" t="inlineStr">
        <is>
          <t>Never confuse with Ohio State</t>
        </is>
      </c>
      <c r="K113" t="inlineStr">
        <is>
          <t>NC State</t>
        </is>
      </c>
      <c r="L113" t="inlineStr">
        <is>
          <t>NCST</t>
        </is>
      </c>
    </row>
    <row r="114">
      <c r="A114" t="inlineStr">
        <is>
          <t>SAC</t>
        </is>
      </c>
      <c r="B114" t="inlineStr">
        <is>
          <t>Sacramento State</t>
        </is>
      </c>
      <c r="C114" t="inlineStr">
        <is>
          <t>MAC</t>
        </is>
      </c>
      <c r="D114" t="inlineStr">
        <is>
          <t>FBS-RECLASSIFYING</t>
        </is>
      </c>
      <c r="E114" t="inlineStr">
        <is>
          <t>Y</t>
        </is>
      </c>
      <c r="F114" t="inlineStr">
        <is>
          <t>Joined MAC from FCS Big Sky 7/1/2026. Transitional flag ON</t>
        </is>
      </c>
      <c r="K114" t="inlineStr">
        <is>
          <t>NCST</t>
        </is>
      </c>
      <c r="L114" t="inlineStr">
        <is>
          <t>NCST</t>
        </is>
      </c>
    </row>
    <row r="115">
      <c r="A115" t="inlineStr">
        <is>
          <t>TOL</t>
        </is>
      </c>
      <c r="B115" t="inlineStr">
        <is>
          <t>Toledo</t>
        </is>
      </c>
      <c r="C115" t="inlineStr">
        <is>
          <t>MAC</t>
        </is>
      </c>
      <c r="D115" t="inlineStr">
        <is>
          <t>FBS</t>
        </is>
      </c>
      <c r="E115" t="inlineStr">
        <is>
          <t>N</t>
        </is>
      </c>
      <c r="K115" t="inlineStr">
        <is>
          <t>North Carolina</t>
        </is>
      </c>
      <c r="L115" t="inlineStr">
        <is>
          <t>UNC</t>
        </is>
      </c>
    </row>
    <row r="116">
      <c r="A116" t="inlineStr">
        <is>
          <t>MASS</t>
        </is>
      </c>
      <c r="B116" t="inlineStr">
        <is>
          <t>UMass</t>
        </is>
      </c>
      <c r="C116" t="inlineStr">
        <is>
          <t>MAC</t>
        </is>
      </c>
      <c r="D116" t="inlineStr">
        <is>
          <t>FBS</t>
        </is>
      </c>
      <c r="E116" t="inlineStr">
        <is>
          <t>N</t>
        </is>
      </c>
      <c r="F116" t="inlineStr">
        <is>
          <t>Rejoined MAC 2025</t>
        </is>
      </c>
      <c r="K116" t="inlineStr">
        <is>
          <t>UNC</t>
        </is>
      </c>
      <c r="L116" t="inlineStr">
        <is>
          <t>UNC</t>
        </is>
      </c>
    </row>
    <row r="117">
      <c r="A117" t="inlineStr">
        <is>
          <t>WMU</t>
        </is>
      </c>
      <c r="B117" t="inlineStr">
        <is>
          <t>Western Michigan</t>
        </is>
      </c>
      <c r="C117" t="inlineStr">
        <is>
          <t>MAC</t>
        </is>
      </c>
      <c r="D117" t="inlineStr">
        <is>
          <t>FBS</t>
        </is>
      </c>
      <c r="E117" t="inlineStr">
        <is>
          <t>N</t>
        </is>
      </c>
      <c r="K117" t="inlineStr">
        <is>
          <t>Pittsburgh</t>
        </is>
      </c>
      <c r="L117" t="inlineStr">
        <is>
          <t>PITT</t>
        </is>
      </c>
    </row>
    <row r="118">
      <c r="A118" t="inlineStr">
        <is>
          <t>AFA</t>
        </is>
      </c>
      <c r="B118" t="inlineStr">
        <is>
          <t>Air Force</t>
        </is>
      </c>
      <c r="C118" t="inlineStr">
        <is>
          <t>Mountain West</t>
        </is>
      </c>
      <c r="D118" t="inlineStr">
        <is>
          <t>FBS</t>
        </is>
      </c>
      <c r="E118" t="inlineStr">
        <is>
          <t>N</t>
        </is>
      </c>
      <c r="K118" t="inlineStr">
        <is>
          <t>PITT</t>
        </is>
      </c>
      <c r="L118" t="inlineStr">
        <is>
          <t>PITT</t>
        </is>
      </c>
    </row>
    <row r="119">
      <c r="A119" t="inlineStr">
        <is>
          <t>HAW</t>
        </is>
      </c>
      <c r="B119" t="inlineStr">
        <is>
          <t>Hawai'i</t>
        </is>
      </c>
      <c r="C119" t="inlineStr">
        <is>
          <t>Mountain West</t>
        </is>
      </c>
      <c r="D119" t="inlineStr">
        <is>
          <t>FBS</t>
        </is>
      </c>
      <c r="E119" t="inlineStr">
        <is>
          <t>N</t>
        </is>
      </c>
      <c r="F119" t="inlineStr">
        <is>
          <t>Football-only MWC member. Apostrophe alias required</t>
        </is>
      </c>
      <c r="K119" t="inlineStr">
        <is>
          <t>SMU</t>
        </is>
      </c>
      <c r="L119" t="inlineStr">
        <is>
          <t>SMU</t>
        </is>
      </c>
    </row>
    <row r="120">
      <c r="A120" t="inlineStr">
        <is>
          <t>NEV</t>
        </is>
      </c>
      <c r="B120" t="inlineStr">
        <is>
          <t>Nevada</t>
        </is>
      </c>
      <c r="C120" t="inlineStr">
        <is>
          <t>Mountain West</t>
        </is>
      </c>
      <c r="D120" t="inlineStr">
        <is>
          <t>FBS</t>
        </is>
      </c>
      <c r="E120" t="inlineStr">
        <is>
          <t>N</t>
        </is>
      </c>
      <c r="K120" t="inlineStr">
        <is>
          <t>Stanford</t>
        </is>
      </c>
      <c r="L120" t="inlineStr">
        <is>
          <t>STAN</t>
        </is>
      </c>
    </row>
    <row r="121">
      <c r="A121" t="inlineStr">
        <is>
          <t>UNM</t>
        </is>
      </c>
      <c r="B121" t="inlineStr">
        <is>
          <t>New Mexico</t>
        </is>
      </c>
      <c r="C121" t="inlineStr">
        <is>
          <t>Mountain West</t>
        </is>
      </c>
      <c r="D121" t="inlineStr">
        <is>
          <t>FBS</t>
        </is>
      </c>
      <c r="E121" t="inlineStr">
        <is>
          <t>N</t>
        </is>
      </c>
      <c r="K121" t="inlineStr">
        <is>
          <t>STAN</t>
        </is>
      </c>
      <c r="L121" t="inlineStr">
        <is>
          <t>STAN</t>
        </is>
      </c>
    </row>
    <row r="122">
      <c r="A122" t="inlineStr">
        <is>
          <t>NDSU</t>
        </is>
      </c>
      <c r="B122" t="inlineStr">
        <is>
          <t>North Dakota State</t>
        </is>
      </c>
      <c r="C122" t="inlineStr">
        <is>
          <t>Mountain West</t>
        </is>
      </c>
      <c r="D122" t="inlineStr">
        <is>
          <t>FBS-RECLASSIFYING</t>
        </is>
      </c>
      <c r="E122" t="inlineStr">
        <is>
          <t>Y</t>
        </is>
      </c>
      <c r="F122" t="inlineStr">
        <is>
          <t>Joined MWC from FCS MVFC 7/1/2026. Transitional flag ON</t>
        </is>
      </c>
      <c r="K122" t="inlineStr">
        <is>
          <t>Syracuse</t>
        </is>
      </c>
      <c r="L122" t="inlineStr">
        <is>
          <t>SYR</t>
        </is>
      </c>
    </row>
    <row r="123">
      <c r="A123" t="inlineStr">
        <is>
          <t>NIU</t>
        </is>
      </c>
      <c r="B123" t="inlineStr">
        <is>
          <t>Northern Illinois</t>
        </is>
      </c>
      <c r="C123" t="inlineStr">
        <is>
          <t>Mountain West</t>
        </is>
      </c>
      <c r="D123" t="inlineStr">
        <is>
          <t>FBS</t>
        </is>
      </c>
      <c r="E123" t="inlineStr">
        <is>
          <t>N</t>
        </is>
      </c>
      <c r="F123" t="inlineStr">
        <is>
          <t>Joined MWC from MAC 7/1/2026</t>
        </is>
      </c>
      <c r="K123" t="inlineStr">
        <is>
          <t>SYR</t>
        </is>
      </c>
      <c r="L123" t="inlineStr">
        <is>
          <t>SYR</t>
        </is>
      </c>
    </row>
    <row r="124">
      <c r="A124" t="inlineStr">
        <is>
          <t>SJSU</t>
        </is>
      </c>
      <c r="B124" t="inlineStr">
        <is>
          <t>San José State</t>
        </is>
      </c>
      <c r="C124" t="inlineStr">
        <is>
          <t>Mountain West</t>
        </is>
      </c>
      <c r="D124" t="inlineStr">
        <is>
          <t>FBS</t>
        </is>
      </c>
      <c r="E124" t="inlineStr">
        <is>
          <t>N</t>
        </is>
      </c>
      <c r="F124" t="inlineStr">
        <is>
          <t>Accent alias required</t>
        </is>
      </c>
      <c r="K124" t="inlineStr">
        <is>
          <t>Virginia</t>
        </is>
      </c>
      <c r="L124" t="inlineStr">
        <is>
          <t>UVA</t>
        </is>
      </c>
    </row>
    <row r="125">
      <c r="A125" t="inlineStr">
        <is>
          <t>UNLV</t>
        </is>
      </c>
      <c r="B125" t="inlineStr">
        <is>
          <t>UNLV</t>
        </is>
      </c>
      <c r="C125" t="inlineStr">
        <is>
          <t>Mountain West</t>
        </is>
      </c>
      <c r="D125" t="inlineStr">
        <is>
          <t>FBS</t>
        </is>
      </c>
      <c r="E125" t="inlineStr">
        <is>
          <t>N</t>
        </is>
      </c>
      <c r="K125" t="inlineStr">
        <is>
          <t>UVA</t>
        </is>
      </c>
      <c r="L125" t="inlineStr">
        <is>
          <t>UVA</t>
        </is>
      </c>
    </row>
    <row r="126">
      <c r="A126" t="inlineStr">
        <is>
          <t>UTEP</t>
        </is>
      </c>
      <c r="B126" t="inlineStr">
        <is>
          <t>UTEP</t>
        </is>
      </c>
      <c r="C126" t="inlineStr">
        <is>
          <t>Mountain West</t>
        </is>
      </c>
      <c r="D126" t="inlineStr">
        <is>
          <t>FBS</t>
        </is>
      </c>
      <c r="E126" t="inlineStr">
        <is>
          <t>N</t>
        </is>
      </c>
      <c r="F126" t="inlineStr">
        <is>
          <t>Joined MWC from CUSA 7/1/2026</t>
        </is>
      </c>
      <c r="K126" t="inlineStr">
        <is>
          <t>Virginia Tech</t>
        </is>
      </c>
      <c r="L126" t="inlineStr">
        <is>
          <t>VT</t>
        </is>
      </c>
    </row>
    <row r="127">
      <c r="A127" t="inlineStr">
        <is>
          <t>WYO</t>
        </is>
      </c>
      <c r="B127" t="inlineStr">
        <is>
          <t>Wyoming</t>
        </is>
      </c>
      <c r="C127" t="inlineStr">
        <is>
          <t>Mountain West</t>
        </is>
      </c>
      <c r="D127" t="inlineStr">
        <is>
          <t>FBS</t>
        </is>
      </c>
      <c r="E127" t="inlineStr">
        <is>
          <t>N</t>
        </is>
      </c>
      <c r="K127" t="inlineStr">
        <is>
          <t>VT</t>
        </is>
      </c>
      <c r="L127" t="inlineStr">
        <is>
          <t>VT</t>
        </is>
      </c>
    </row>
    <row r="128">
      <c r="A128" t="inlineStr">
        <is>
          <t>APP</t>
        </is>
      </c>
      <c r="B128" t="inlineStr">
        <is>
          <t>Appalachian State</t>
        </is>
      </c>
      <c r="C128" t="inlineStr">
        <is>
          <t>Sun Belt</t>
        </is>
      </c>
      <c r="D128" t="inlineStr">
        <is>
          <t>FBS</t>
        </is>
      </c>
      <c r="E128" t="inlineStr">
        <is>
          <t>N</t>
        </is>
      </c>
      <c r="F128" t="inlineStr">
        <is>
          <t>ASU blocked here (maps to Arizona State)</t>
        </is>
      </c>
      <c r="K128" t="inlineStr">
        <is>
          <t>Wake Forest</t>
        </is>
      </c>
      <c r="L128" t="inlineStr">
        <is>
          <t>WAKE</t>
        </is>
      </c>
    </row>
    <row r="129">
      <c r="A129" t="inlineStr">
        <is>
          <t>ARST</t>
        </is>
      </c>
      <c r="B129" t="inlineStr">
        <is>
          <t>Arkansas State</t>
        </is>
      </c>
      <c r="C129" t="inlineStr">
        <is>
          <t>Sun Belt</t>
        </is>
      </c>
      <c r="D129" t="inlineStr">
        <is>
          <t>FBS</t>
        </is>
      </c>
      <c r="E129" t="inlineStr">
        <is>
          <t>N</t>
        </is>
      </c>
      <c r="K129" t="inlineStr">
        <is>
          <t>WAKE</t>
        </is>
      </c>
      <c r="L129" t="inlineStr">
        <is>
          <t>WAKE</t>
        </is>
      </c>
    </row>
    <row r="130">
      <c r="A130" t="inlineStr">
        <is>
          <t>CCU</t>
        </is>
      </c>
      <c r="B130" t="inlineStr">
        <is>
          <t>Coastal Carolina</t>
        </is>
      </c>
      <c r="C130" t="inlineStr">
        <is>
          <t>Sun Belt</t>
        </is>
      </c>
      <c r="D130" t="inlineStr">
        <is>
          <t>FBS</t>
        </is>
      </c>
      <c r="E130" t="inlineStr">
        <is>
          <t>N</t>
        </is>
      </c>
      <c r="K130" t="inlineStr">
        <is>
          <t>Boise State</t>
        </is>
      </c>
      <c r="L130" t="inlineStr">
        <is>
          <t>BSU</t>
        </is>
      </c>
    </row>
    <row r="131">
      <c r="A131" t="inlineStr">
        <is>
          <t>GASO</t>
        </is>
      </c>
      <c r="B131" t="inlineStr">
        <is>
          <t>Georgia Southern</t>
        </is>
      </c>
      <c r="C131" t="inlineStr">
        <is>
          <t>Sun Belt</t>
        </is>
      </c>
      <c r="D131" t="inlineStr">
        <is>
          <t>FBS</t>
        </is>
      </c>
      <c r="E131" t="inlineStr">
        <is>
          <t>N</t>
        </is>
      </c>
      <c r="K131" t="inlineStr">
        <is>
          <t>BSU</t>
        </is>
      </c>
      <c r="L131" t="inlineStr">
        <is>
          <t>BSU</t>
        </is>
      </c>
    </row>
    <row r="132">
      <c r="A132" t="inlineStr">
        <is>
          <t>GAST</t>
        </is>
      </c>
      <c r="B132" t="inlineStr">
        <is>
          <t>Georgia State</t>
        </is>
      </c>
      <c r="C132" t="inlineStr">
        <is>
          <t>Sun Belt</t>
        </is>
      </c>
      <c r="D132" t="inlineStr">
        <is>
          <t>FBS</t>
        </is>
      </c>
      <c r="E132" t="inlineStr">
        <is>
          <t>N</t>
        </is>
      </c>
      <c r="K132" t="inlineStr">
        <is>
          <t>Colorado State</t>
        </is>
      </c>
      <c r="L132" t="inlineStr">
        <is>
          <t>CSU</t>
        </is>
      </c>
    </row>
    <row r="133">
      <c r="A133" t="inlineStr">
        <is>
          <t>JMU</t>
        </is>
      </c>
      <c r="B133" t="inlineStr">
        <is>
          <t>James Madison</t>
        </is>
      </c>
      <c r="C133" t="inlineStr">
        <is>
          <t>Sun Belt</t>
        </is>
      </c>
      <c r="D133" t="inlineStr">
        <is>
          <t>FBS</t>
        </is>
      </c>
      <c r="E133" t="inlineStr">
        <is>
          <t>N</t>
        </is>
      </c>
      <c r="K133" t="inlineStr">
        <is>
          <t>CSU</t>
        </is>
      </c>
      <c r="L133" t="inlineStr">
        <is>
          <t>CSU</t>
        </is>
      </c>
    </row>
    <row r="134">
      <c r="A134" t="inlineStr">
        <is>
          <t>ULL</t>
        </is>
      </c>
      <c r="B134" t="inlineStr">
        <is>
          <t>Louisiana</t>
        </is>
      </c>
      <c r="C134" t="inlineStr">
        <is>
          <t>Sun Belt</t>
        </is>
      </c>
      <c r="D134" t="inlineStr">
        <is>
          <t>FBS</t>
        </is>
      </c>
      <c r="E134" t="inlineStr">
        <is>
          <t>N</t>
        </is>
      </c>
      <c r="F134" t="inlineStr">
        <is>
          <t>CFBD name: Louisiana. UL blocked</t>
        </is>
      </c>
      <c r="K134" t="inlineStr">
        <is>
          <t>Fresno State</t>
        </is>
      </c>
      <c r="L134" t="inlineStr">
        <is>
          <t>FRES</t>
        </is>
      </c>
    </row>
    <row r="135">
      <c r="A135" t="inlineStr">
        <is>
          <t>LT</t>
        </is>
      </c>
      <c r="B135" t="inlineStr">
        <is>
          <t>Louisiana Tech</t>
        </is>
      </c>
      <c r="C135" t="inlineStr">
        <is>
          <t>Sun Belt</t>
        </is>
      </c>
      <c r="D135" t="inlineStr">
        <is>
          <t>FBS</t>
        </is>
      </c>
      <c r="E135" t="inlineStr">
        <is>
          <t>N</t>
        </is>
      </c>
      <c r="F135" t="inlineStr">
        <is>
          <t>Joined Sun Belt from CUSA 7/1/2026</t>
        </is>
      </c>
      <c r="K135" t="inlineStr">
        <is>
          <t>FRES</t>
        </is>
      </c>
      <c r="L135" t="inlineStr">
        <is>
          <t>FRES</t>
        </is>
      </c>
    </row>
    <row r="136">
      <c r="A136" t="inlineStr">
        <is>
          <t>MRSH</t>
        </is>
      </c>
      <c r="B136" t="inlineStr">
        <is>
          <t>Marshall</t>
        </is>
      </c>
      <c r="C136" t="inlineStr">
        <is>
          <t>Sun Belt</t>
        </is>
      </c>
      <c r="D136" t="inlineStr">
        <is>
          <t>FBS</t>
        </is>
      </c>
      <c r="E136" t="inlineStr">
        <is>
          <t>N</t>
        </is>
      </c>
      <c r="K136" t="inlineStr">
        <is>
          <t>Oregon State</t>
        </is>
      </c>
      <c r="L136" t="inlineStr">
        <is>
          <t>ORST</t>
        </is>
      </c>
    </row>
    <row r="137">
      <c r="A137" t="inlineStr">
        <is>
          <t>ODU</t>
        </is>
      </c>
      <c r="B137" t="inlineStr">
        <is>
          <t>Old Dominion</t>
        </is>
      </c>
      <c r="C137" t="inlineStr">
        <is>
          <t>Sun Belt</t>
        </is>
      </c>
      <c r="D137" t="inlineStr">
        <is>
          <t>FBS</t>
        </is>
      </c>
      <c r="E137" t="inlineStr">
        <is>
          <t>N</t>
        </is>
      </c>
      <c r="K137" t="inlineStr">
        <is>
          <t>ORST</t>
        </is>
      </c>
      <c r="L137" t="inlineStr">
        <is>
          <t>ORST</t>
        </is>
      </c>
    </row>
    <row r="138">
      <c r="A138" t="inlineStr">
        <is>
          <t>USA</t>
        </is>
      </c>
      <c r="B138" t="inlineStr">
        <is>
          <t>South Alabama</t>
        </is>
      </c>
      <c r="C138" t="inlineStr">
        <is>
          <t>Sun Belt</t>
        </is>
      </c>
      <c r="D138" t="inlineStr">
        <is>
          <t>FBS</t>
        </is>
      </c>
      <c r="E138" t="inlineStr">
        <is>
          <t>N</t>
        </is>
      </c>
      <c r="K138" t="inlineStr">
        <is>
          <t>San Diego State</t>
        </is>
      </c>
      <c r="L138" t="inlineStr">
        <is>
          <t>SDSU</t>
        </is>
      </c>
    </row>
    <row r="139">
      <c r="A139" t="inlineStr">
        <is>
          <t>USM</t>
        </is>
      </c>
      <c r="B139" t="inlineStr">
        <is>
          <t>Southern Miss</t>
        </is>
      </c>
      <c r="C139" t="inlineStr">
        <is>
          <t>Sun Belt</t>
        </is>
      </c>
      <c r="D139" t="inlineStr">
        <is>
          <t>FBS</t>
        </is>
      </c>
      <c r="E139" t="inlineStr">
        <is>
          <t>N</t>
        </is>
      </c>
      <c r="K139" t="inlineStr">
        <is>
          <t>SDSU</t>
        </is>
      </c>
      <c r="L139" t="inlineStr">
        <is>
          <t>SDSU</t>
        </is>
      </c>
    </row>
    <row r="140">
      <c r="A140" t="inlineStr">
        <is>
          <t>TROY</t>
        </is>
      </c>
      <c r="B140" t="inlineStr">
        <is>
          <t>Troy</t>
        </is>
      </c>
      <c r="C140" t="inlineStr">
        <is>
          <t>Sun Belt</t>
        </is>
      </c>
      <c r="D140" t="inlineStr">
        <is>
          <t>FBS</t>
        </is>
      </c>
      <c r="E140" t="inlineStr">
        <is>
          <t>N</t>
        </is>
      </c>
      <c r="K140" t="inlineStr">
        <is>
          <t>Texas State</t>
        </is>
      </c>
      <c r="L140" t="inlineStr">
        <is>
          <t>TXST</t>
        </is>
      </c>
    </row>
    <row r="141">
      <c r="A141" t="inlineStr">
        <is>
          <t>ULM</t>
        </is>
      </c>
      <c r="B141" t="inlineStr">
        <is>
          <t>ULM</t>
        </is>
      </c>
      <c r="C141" t="inlineStr">
        <is>
          <t>Sun Belt</t>
        </is>
      </c>
      <c r="D141" t="inlineStr">
        <is>
          <t>FBS</t>
        </is>
      </c>
      <c r="E141" t="inlineStr">
        <is>
          <t>N</t>
        </is>
      </c>
      <c r="K141" t="inlineStr">
        <is>
          <t>TXST</t>
        </is>
      </c>
      <c r="L141" t="inlineStr">
        <is>
          <t>TXST</t>
        </is>
      </c>
    </row>
    <row r="142">
      <c r="A142" t="inlineStr">
        <is>
          <t>ND</t>
        </is>
      </c>
      <c r="B142" t="inlineStr">
        <is>
          <t>Notre Dame</t>
        </is>
      </c>
      <c r="C142" t="inlineStr">
        <is>
          <t>Independent</t>
        </is>
      </c>
      <c r="D142" t="inlineStr">
        <is>
          <t>FBS</t>
        </is>
      </c>
      <c r="E142" t="inlineStr">
        <is>
          <t>N</t>
        </is>
      </c>
      <c r="K142" t="inlineStr">
        <is>
          <t>Utah State</t>
        </is>
      </c>
      <c r="L142" t="inlineStr">
        <is>
          <t>USU</t>
        </is>
      </c>
    </row>
    <row r="143">
      <c r="A143" t="inlineStr">
        <is>
          <t>CONN</t>
        </is>
      </c>
      <c r="B143" t="inlineStr">
        <is>
          <t>UConn</t>
        </is>
      </c>
      <c r="C143" t="inlineStr">
        <is>
          <t>Independent</t>
        </is>
      </c>
      <c r="D143" t="inlineStr">
        <is>
          <t>FBS</t>
        </is>
      </c>
      <c r="E143" t="inlineStr">
        <is>
          <t>N</t>
        </is>
      </c>
      <c r="K143" t="inlineStr">
        <is>
          <t>USU</t>
        </is>
      </c>
      <c r="L143" t="inlineStr">
        <is>
          <t>USU</t>
        </is>
      </c>
    </row>
    <row r="144">
      <c r="K144" t="inlineStr">
        <is>
          <t>Washington State</t>
        </is>
      </c>
      <c r="L144" t="inlineStr">
        <is>
          <t>WSU</t>
        </is>
      </c>
    </row>
    <row r="145">
      <c r="K145" t="inlineStr">
        <is>
          <t>WSU</t>
        </is>
      </c>
      <c r="L145" t="inlineStr">
        <is>
          <t>WSU</t>
        </is>
      </c>
    </row>
    <row r="146">
      <c r="K146" t="inlineStr">
        <is>
          <t>Army</t>
        </is>
      </c>
      <c r="L146" t="inlineStr">
        <is>
          <t>ARMY</t>
        </is>
      </c>
    </row>
    <row r="147">
      <c r="K147" t="inlineStr">
        <is>
          <t>Charlotte</t>
        </is>
      </c>
      <c r="L147" t="inlineStr">
        <is>
          <t>CLT</t>
        </is>
      </c>
    </row>
    <row r="148">
      <c r="K148" t="inlineStr">
        <is>
          <t>CLT</t>
        </is>
      </c>
      <c r="L148" t="inlineStr">
        <is>
          <t>CLT</t>
        </is>
      </c>
    </row>
    <row r="149">
      <c r="K149" t="inlineStr">
        <is>
          <t>East Carolina</t>
        </is>
      </c>
      <c r="L149" t="inlineStr">
        <is>
          <t>ECU</t>
        </is>
      </c>
    </row>
    <row r="150">
      <c r="K150" t="inlineStr">
        <is>
          <t>ECU</t>
        </is>
      </c>
      <c r="L150" t="inlineStr">
        <is>
          <t>ECU</t>
        </is>
      </c>
    </row>
    <row r="151">
      <c r="K151" t="inlineStr">
        <is>
          <t>Florida Atlantic</t>
        </is>
      </c>
      <c r="L151" t="inlineStr">
        <is>
          <t>FAU</t>
        </is>
      </c>
    </row>
    <row r="152">
      <c r="K152" t="inlineStr">
        <is>
          <t>FAU</t>
        </is>
      </c>
      <c r="L152" t="inlineStr">
        <is>
          <t>FAU</t>
        </is>
      </c>
    </row>
    <row r="153">
      <c r="K153" t="inlineStr">
        <is>
          <t>Memphis</t>
        </is>
      </c>
      <c r="L153" t="inlineStr">
        <is>
          <t>MEM</t>
        </is>
      </c>
    </row>
    <row r="154">
      <c r="K154" t="inlineStr">
        <is>
          <t>MEM</t>
        </is>
      </c>
      <c r="L154" t="inlineStr">
        <is>
          <t>MEM</t>
        </is>
      </c>
    </row>
    <row r="155">
      <c r="K155" t="inlineStr">
        <is>
          <t>Navy</t>
        </is>
      </c>
      <c r="L155" t="inlineStr">
        <is>
          <t>NAVY</t>
        </is>
      </c>
    </row>
    <row r="156">
      <c r="K156" t="inlineStr">
        <is>
          <t>North Texas</t>
        </is>
      </c>
      <c r="L156" t="inlineStr">
        <is>
          <t>UNT</t>
        </is>
      </c>
    </row>
    <row r="157">
      <c r="K157" t="inlineStr">
        <is>
          <t>UNT</t>
        </is>
      </c>
      <c r="L157" t="inlineStr">
        <is>
          <t>UNT</t>
        </is>
      </c>
    </row>
    <row r="158">
      <c r="K158" t="inlineStr">
        <is>
          <t>Rice</t>
        </is>
      </c>
      <c r="L158" t="inlineStr">
        <is>
          <t>RICE</t>
        </is>
      </c>
    </row>
    <row r="159">
      <c r="K159" t="inlineStr">
        <is>
          <t>South Florida</t>
        </is>
      </c>
      <c r="L159" t="inlineStr">
        <is>
          <t>USF</t>
        </is>
      </c>
    </row>
    <row r="160">
      <c r="K160" t="inlineStr">
        <is>
          <t>USF</t>
        </is>
      </c>
      <c r="L160" t="inlineStr">
        <is>
          <t>USF</t>
        </is>
      </c>
    </row>
    <row r="161">
      <c r="K161" t="inlineStr">
        <is>
          <t>Temple</t>
        </is>
      </c>
      <c r="L161" t="inlineStr">
        <is>
          <t>TEM</t>
        </is>
      </c>
    </row>
    <row r="162">
      <c r="K162" t="inlineStr">
        <is>
          <t>TEM</t>
        </is>
      </c>
      <c r="L162" t="inlineStr">
        <is>
          <t>TEM</t>
        </is>
      </c>
    </row>
    <row r="163">
      <c r="K163" t="inlineStr">
        <is>
          <t>Tulane</t>
        </is>
      </c>
      <c r="L163" t="inlineStr">
        <is>
          <t>TULN</t>
        </is>
      </c>
    </row>
    <row r="164">
      <c r="K164" t="inlineStr">
        <is>
          <t>TULN</t>
        </is>
      </c>
      <c r="L164" t="inlineStr">
        <is>
          <t>TULN</t>
        </is>
      </c>
    </row>
    <row r="165">
      <c r="K165" t="inlineStr">
        <is>
          <t>Tulsa</t>
        </is>
      </c>
      <c r="L165" t="inlineStr">
        <is>
          <t>TLSA</t>
        </is>
      </c>
    </row>
    <row r="166">
      <c r="K166" t="inlineStr">
        <is>
          <t>TLSA</t>
        </is>
      </c>
      <c r="L166" t="inlineStr">
        <is>
          <t>TLSA</t>
        </is>
      </c>
    </row>
    <row r="167">
      <c r="K167" t="inlineStr">
        <is>
          <t>UAB</t>
        </is>
      </c>
      <c r="L167" t="inlineStr">
        <is>
          <t>UAB</t>
        </is>
      </c>
    </row>
    <row r="168">
      <c r="K168" t="inlineStr">
        <is>
          <t>UTSA</t>
        </is>
      </c>
      <c r="L168" t="inlineStr">
        <is>
          <t>UTSA</t>
        </is>
      </c>
    </row>
    <row r="169">
      <c r="K169" t="inlineStr">
        <is>
          <t>Delaware</t>
        </is>
      </c>
      <c r="L169" t="inlineStr">
        <is>
          <t>DEL</t>
        </is>
      </c>
    </row>
    <row r="170">
      <c r="K170" t="inlineStr">
        <is>
          <t>DEL</t>
        </is>
      </c>
      <c r="L170" t="inlineStr">
        <is>
          <t>DEL</t>
        </is>
      </c>
    </row>
    <row r="171">
      <c r="K171" t="inlineStr">
        <is>
          <t>FIU</t>
        </is>
      </c>
      <c r="L171" t="inlineStr">
        <is>
          <t>FIU</t>
        </is>
      </c>
    </row>
    <row r="172">
      <c r="K172" t="inlineStr">
        <is>
          <t>Jacksonville State</t>
        </is>
      </c>
      <c r="L172" t="inlineStr">
        <is>
          <t>JVST</t>
        </is>
      </c>
    </row>
    <row r="173">
      <c r="K173" t="inlineStr">
        <is>
          <t>JVST</t>
        </is>
      </c>
      <c r="L173" t="inlineStr">
        <is>
          <t>JVST</t>
        </is>
      </c>
    </row>
    <row r="174">
      <c r="K174" t="inlineStr">
        <is>
          <t>Kennesaw State</t>
        </is>
      </c>
      <c r="L174" t="inlineStr">
        <is>
          <t>KENN</t>
        </is>
      </c>
    </row>
    <row r="175">
      <c r="K175" t="inlineStr">
        <is>
          <t>KENN</t>
        </is>
      </c>
      <c r="L175" t="inlineStr">
        <is>
          <t>KENN</t>
        </is>
      </c>
    </row>
    <row r="176">
      <c r="K176" t="inlineStr">
        <is>
          <t>Liberty</t>
        </is>
      </c>
      <c r="L176" t="inlineStr">
        <is>
          <t>LIB</t>
        </is>
      </c>
    </row>
    <row r="177">
      <c r="K177" t="inlineStr">
        <is>
          <t>LIB</t>
        </is>
      </c>
      <c r="L177" t="inlineStr">
        <is>
          <t>LIB</t>
        </is>
      </c>
    </row>
    <row r="178">
      <c r="K178" t="inlineStr">
        <is>
          <t>Middle Tennessee</t>
        </is>
      </c>
      <c r="L178" t="inlineStr">
        <is>
          <t>MTSU</t>
        </is>
      </c>
    </row>
    <row r="179">
      <c r="K179" t="inlineStr">
        <is>
          <t>MTSU</t>
        </is>
      </c>
      <c r="L179" t="inlineStr">
        <is>
          <t>MTSU</t>
        </is>
      </c>
    </row>
    <row r="180">
      <c r="K180" t="inlineStr">
        <is>
          <t>Missouri State</t>
        </is>
      </c>
      <c r="L180" t="inlineStr">
        <is>
          <t>MOST</t>
        </is>
      </c>
    </row>
    <row r="181">
      <c r="K181" t="inlineStr">
        <is>
          <t>MOST</t>
        </is>
      </c>
      <c r="L181" t="inlineStr">
        <is>
          <t>MOST</t>
        </is>
      </c>
    </row>
    <row r="182">
      <c r="K182" t="inlineStr">
        <is>
          <t>New Mexico State</t>
        </is>
      </c>
      <c r="L182" t="inlineStr">
        <is>
          <t>NMSU</t>
        </is>
      </c>
    </row>
    <row r="183">
      <c r="K183" t="inlineStr">
        <is>
          <t>NMSU</t>
        </is>
      </c>
      <c r="L183" t="inlineStr">
        <is>
          <t>NMSU</t>
        </is>
      </c>
    </row>
    <row r="184">
      <c r="K184" t="inlineStr">
        <is>
          <t>Sam Houston</t>
        </is>
      </c>
      <c r="L184" t="inlineStr">
        <is>
          <t>SHSU</t>
        </is>
      </c>
    </row>
    <row r="185">
      <c r="K185" t="inlineStr">
        <is>
          <t>SHSU</t>
        </is>
      </c>
      <c r="L185" t="inlineStr">
        <is>
          <t>SHSU</t>
        </is>
      </c>
    </row>
    <row r="186">
      <c r="K186" t="inlineStr">
        <is>
          <t>Western Kentucky</t>
        </is>
      </c>
      <c r="L186" t="inlineStr">
        <is>
          <t>WKU</t>
        </is>
      </c>
    </row>
    <row r="187">
      <c r="K187" t="inlineStr">
        <is>
          <t>WKU</t>
        </is>
      </c>
      <c r="L187" t="inlineStr">
        <is>
          <t>WKU</t>
        </is>
      </c>
    </row>
    <row r="188">
      <c r="K188" t="inlineStr">
        <is>
          <t>Akron</t>
        </is>
      </c>
      <c r="L188" t="inlineStr">
        <is>
          <t>AKR</t>
        </is>
      </c>
    </row>
    <row r="189">
      <c r="K189" t="inlineStr">
        <is>
          <t>AKR</t>
        </is>
      </c>
      <c r="L189" t="inlineStr">
        <is>
          <t>AKR</t>
        </is>
      </c>
    </row>
    <row r="190">
      <c r="K190" t="inlineStr">
        <is>
          <t>Ball State</t>
        </is>
      </c>
      <c r="L190" t="inlineStr">
        <is>
          <t>BALL</t>
        </is>
      </c>
    </row>
    <row r="191">
      <c r="K191" t="inlineStr">
        <is>
          <t>BALL</t>
        </is>
      </c>
      <c r="L191" t="inlineStr">
        <is>
          <t>BALL</t>
        </is>
      </c>
    </row>
    <row r="192">
      <c r="K192" t="inlineStr">
        <is>
          <t>Bowling Green</t>
        </is>
      </c>
      <c r="L192" t="inlineStr">
        <is>
          <t>BGSU</t>
        </is>
      </c>
    </row>
    <row r="193">
      <c r="K193" t="inlineStr">
        <is>
          <t>BGSU</t>
        </is>
      </c>
      <c r="L193" t="inlineStr">
        <is>
          <t>BGSU</t>
        </is>
      </c>
    </row>
    <row r="194">
      <c r="K194" t="inlineStr">
        <is>
          <t>Buffalo</t>
        </is>
      </c>
      <c r="L194" t="inlineStr">
        <is>
          <t>BUFF</t>
        </is>
      </c>
    </row>
    <row r="195">
      <c r="K195" t="inlineStr">
        <is>
          <t>BUFF</t>
        </is>
      </c>
      <c r="L195" t="inlineStr">
        <is>
          <t>BUFF</t>
        </is>
      </c>
    </row>
    <row r="196">
      <c r="K196" t="inlineStr">
        <is>
          <t>Central Michigan</t>
        </is>
      </c>
      <c r="L196" t="inlineStr">
        <is>
          <t>CMU</t>
        </is>
      </c>
    </row>
    <row r="197">
      <c r="K197" t="inlineStr">
        <is>
          <t>CMU</t>
        </is>
      </c>
      <c r="L197" t="inlineStr">
        <is>
          <t>CMU</t>
        </is>
      </c>
    </row>
    <row r="198">
      <c r="K198" t="inlineStr">
        <is>
          <t>Eastern Michigan</t>
        </is>
      </c>
      <c r="L198" t="inlineStr">
        <is>
          <t>EMU</t>
        </is>
      </c>
    </row>
    <row r="199">
      <c r="K199" t="inlineStr">
        <is>
          <t>EMU</t>
        </is>
      </c>
      <c r="L199" t="inlineStr">
        <is>
          <t>EMU</t>
        </is>
      </c>
    </row>
    <row r="200">
      <c r="K200" t="inlineStr">
        <is>
          <t>Kent State</t>
        </is>
      </c>
      <c r="L200" t="inlineStr">
        <is>
          <t>KENT</t>
        </is>
      </c>
    </row>
    <row r="201">
      <c r="K201" t="inlineStr">
        <is>
          <t>KENT</t>
        </is>
      </c>
      <c r="L201" t="inlineStr">
        <is>
          <t>KENT</t>
        </is>
      </c>
    </row>
    <row r="202">
      <c r="K202" t="inlineStr">
        <is>
          <t>Miami (OH)</t>
        </is>
      </c>
      <c r="L202" t="inlineStr">
        <is>
          <t>M-OH</t>
        </is>
      </c>
    </row>
    <row r="203">
      <c r="K203" t="inlineStr">
        <is>
          <t>M-OH</t>
        </is>
      </c>
      <c r="L203" t="inlineStr">
        <is>
          <t>M-OH</t>
        </is>
      </c>
    </row>
    <row r="204">
      <c r="K204" t="inlineStr">
        <is>
          <t>Ohio</t>
        </is>
      </c>
      <c r="L204" t="inlineStr">
        <is>
          <t>OHIO</t>
        </is>
      </c>
    </row>
    <row r="205">
      <c r="K205" t="inlineStr">
        <is>
          <t>Sacramento State</t>
        </is>
      </c>
      <c r="L205" t="inlineStr">
        <is>
          <t>SAC</t>
        </is>
      </c>
    </row>
    <row r="206">
      <c r="K206" t="inlineStr">
        <is>
          <t>SAC</t>
        </is>
      </c>
      <c r="L206" t="inlineStr">
        <is>
          <t>SAC</t>
        </is>
      </c>
    </row>
    <row r="207">
      <c r="K207" t="inlineStr">
        <is>
          <t>Toledo</t>
        </is>
      </c>
      <c r="L207" t="inlineStr">
        <is>
          <t>TOL</t>
        </is>
      </c>
    </row>
    <row r="208">
      <c r="K208" t="inlineStr">
        <is>
          <t>TOL</t>
        </is>
      </c>
      <c r="L208" t="inlineStr">
        <is>
          <t>TOL</t>
        </is>
      </c>
    </row>
    <row r="209">
      <c r="K209" t="inlineStr">
        <is>
          <t>UMass</t>
        </is>
      </c>
      <c r="L209" t="inlineStr">
        <is>
          <t>MASS</t>
        </is>
      </c>
    </row>
    <row r="210">
      <c r="K210" t="inlineStr">
        <is>
          <t>MASS</t>
        </is>
      </c>
      <c r="L210" t="inlineStr">
        <is>
          <t>MASS</t>
        </is>
      </c>
    </row>
    <row r="211">
      <c r="K211" t="inlineStr">
        <is>
          <t>Western Michigan</t>
        </is>
      </c>
      <c r="L211" t="inlineStr">
        <is>
          <t>WMU</t>
        </is>
      </c>
    </row>
    <row r="212">
      <c r="K212" t="inlineStr">
        <is>
          <t>WMU</t>
        </is>
      </c>
      <c r="L212" t="inlineStr">
        <is>
          <t>WMU</t>
        </is>
      </c>
    </row>
    <row r="213">
      <c r="K213" t="inlineStr">
        <is>
          <t>Air Force</t>
        </is>
      </c>
      <c r="L213" t="inlineStr">
        <is>
          <t>AFA</t>
        </is>
      </c>
    </row>
    <row r="214">
      <c r="K214" t="inlineStr">
        <is>
          <t>AFA</t>
        </is>
      </c>
      <c r="L214" t="inlineStr">
        <is>
          <t>AFA</t>
        </is>
      </c>
    </row>
    <row r="215">
      <c r="K215" t="inlineStr">
        <is>
          <t>Hawai'i</t>
        </is>
      </c>
      <c r="L215" t="inlineStr">
        <is>
          <t>HAW</t>
        </is>
      </c>
    </row>
    <row r="216">
      <c r="K216" t="inlineStr">
        <is>
          <t>HAW</t>
        </is>
      </c>
      <c r="L216" t="inlineStr">
        <is>
          <t>HAW</t>
        </is>
      </c>
    </row>
    <row r="217">
      <c r="K217" t="inlineStr">
        <is>
          <t>Nevada</t>
        </is>
      </c>
      <c r="L217" t="inlineStr">
        <is>
          <t>NEV</t>
        </is>
      </c>
    </row>
    <row r="218">
      <c r="K218" t="inlineStr">
        <is>
          <t>NEV</t>
        </is>
      </c>
      <c r="L218" t="inlineStr">
        <is>
          <t>NEV</t>
        </is>
      </c>
    </row>
    <row r="219">
      <c r="K219" t="inlineStr">
        <is>
          <t>New Mexico</t>
        </is>
      </c>
      <c r="L219" t="inlineStr">
        <is>
          <t>UNM</t>
        </is>
      </c>
    </row>
    <row r="220">
      <c r="K220" t="inlineStr">
        <is>
          <t>UNM</t>
        </is>
      </c>
      <c r="L220" t="inlineStr">
        <is>
          <t>UNM</t>
        </is>
      </c>
    </row>
    <row r="221">
      <c r="K221" t="inlineStr">
        <is>
          <t>North Dakota State</t>
        </is>
      </c>
      <c r="L221" t="inlineStr">
        <is>
          <t>NDSU</t>
        </is>
      </c>
    </row>
    <row r="222">
      <c r="K222" t="inlineStr">
        <is>
          <t>NDSU</t>
        </is>
      </c>
      <c r="L222" t="inlineStr">
        <is>
          <t>NDSU</t>
        </is>
      </c>
    </row>
    <row r="223">
      <c r="K223" t="inlineStr">
        <is>
          <t>Northern Illinois</t>
        </is>
      </c>
      <c r="L223" t="inlineStr">
        <is>
          <t>NIU</t>
        </is>
      </c>
    </row>
    <row r="224">
      <c r="K224" t="inlineStr">
        <is>
          <t>NIU</t>
        </is>
      </c>
      <c r="L224" t="inlineStr">
        <is>
          <t>NIU</t>
        </is>
      </c>
    </row>
    <row r="225">
      <c r="K225" t="inlineStr">
        <is>
          <t>San José State</t>
        </is>
      </c>
      <c r="L225" t="inlineStr">
        <is>
          <t>SJSU</t>
        </is>
      </c>
    </row>
    <row r="226">
      <c r="K226" t="inlineStr">
        <is>
          <t>SJSU</t>
        </is>
      </c>
      <c r="L226" t="inlineStr">
        <is>
          <t>SJSU</t>
        </is>
      </c>
    </row>
    <row r="227">
      <c r="K227" t="inlineStr">
        <is>
          <t>UNLV</t>
        </is>
      </c>
      <c r="L227" t="inlineStr">
        <is>
          <t>UNLV</t>
        </is>
      </c>
    </row>
    <row r="228">
      <c r="K228" t="inlineStr">
        <is>
          <t>UTEP</t>
        </is>
      </c>
      <c r="L228" t="inlineStr">
        <is>
          <t>UTEP</t>
        </is>
      </c>
    </row>
    <row r="229">
      <c r="K229" t="inlineStr">
        <is>
          <t>Wyoming</t>
        </is>
      </c>
      <c r="L229" t="inlineStr">
        <is>
          <t>WYO</t>
        </is>
      </c>
    </row>
    <row r="230">
      <c r="K230" t="inlineStr">
        <is>
          <t>WYO</t>
        </is>
      </c>
      <c r="L230" t="inlineStr">
        <is>
          <t>WYO</t>
        </is>
      </c>
    </row>
    <row r="231">
      <c r="K231" t="inlineStr">
        <is>
          <t>Appalachian State</t>
        </is>
      </c>
      <c r="L231" t="inlineStr">
        <is>
          <t>APP</t>
        </is>
      </c>
    </row>
    <row r="232">
      <c r="K232" t="inlineStr">
        <is>
          <t>APP</t>
        </is>
      </c>
      <c r="L232" t="inlineStr">
        <is>
          <t>APP</t>
        </is>
      </c>
    </row>
    <row r="233">
      <c r="K233" t="inlineStr">
        <is>
          <t>Arkansas State</t>
        </is>
      </c>
      <c r="L233" t="inlineStr">
        <is>
          <t>ARST</t>
        </is>
      </c>
    </row>
    <row r="234">
      <c r="K234" t="inlineStr">
        <is>
          <t>ARST</t>
        </is>
      </c>
      <c r="L234" t="inlineStr">
        <is>
          <t>ARST</t>
        </is>
      </c>
    </row>
    <row r="235">
      <c r="K235" t="inlineStr">
        <is>
          <t>Coastal Carolina</t>
        </is>
      </c>
      <c r="L235" t="inlineStr">
        <is>
          <t>CCU</t>
        </is>
      </c>
    </row>
    <row r="236">
      <c r="K236" t="inlineStr">
        <is>
          <t>CCU</t>
        </is>
      </c>
      <c r="L236" t="inlineStr">
        <is>
          <t>CCU</t>
        </is>
      </c>
    </row>
    <row r="237">
      <c r="K237" t="inlineStr">
        <is>
          <t>Georgia Southern</t>
        </is>
      </c>
      <c r="L237" t="inlineStr">
        <is>
          <t>GASO</t>
        </is>
      </c>
    </row>
    <row r="238">
      <c r="K238" t="inlineStr">
        <is>
          <t>GASO</t>
        </is>
      </c>
      <c r="L238" t="inlineStr">
        <is>
          <t>GASO</t>
        </is>
      </c>
    </row>
    <row r="239">
      <c r="K239" t="inlineStr">
        <is>
          <t>Georgia State</t>
        </is>
      </c>
      <c r="L239" t="inlineStr">
        <is>
          <t>GAST</t>
        </is>
      </c>
    </row>
    <row r="240">
      <c r="K240" t="inlineStr">
        <is>
          <t>GAST</t>
        </is>
      </c>
      <c r="L240" t="inlineStr">
        <is>
          <t>GAST</t>
        </is>
      </c>
    </row>
    <row r="241">
      <c r="K241" t="inlineStr">
        <is>
          <t>James Madison</t>
        </is>
      </c>
      <c r="L241" t="inlineStr">
        <is>
          <t>JMU</t>
        </is>
      </c>
    </row>
    <row r="242">
      <c r="K242" t="inlineStr">
        <is>
          <t>JMU</t>
        </is>
      </c>
      <c r="L242" t="inlineStr">
        <is>
          <t>JMU</t>
        </is>
      </c>
    </row>
    <row r="243">
      <c r="K243" t="inlineStr">
        <is>
          <t>Louisiana</t>
        </is>
      </c>
      <c r="L243" t="inlineStr">
        <is>
          <t>ULL</t>
        </is>
      </c>
    </row>
    <row r="244">
      <c r="K244" t="inlineStr">
        <is>
          <t>ULL</t>
        </is>
      </c>
      <c r="L244" t="inlineStr">
        <is>
          <t>ULL</t>
        </is>
      </c>
    </row>
    <row r="245">
      <c r="K245" t="inlineStr">
        <is>
          <t>Louisiana Tech</t>
        </is>
      </c>
      <c r="L245" t="inlineStr">
        <is>
          <t>LT</t>
        </is>
      </c>
    </row>
    <row r="246">
      <c r="K246" t="inlineStr">
        <is>
          <t>LT</t>
        </is>
      </c>
      <c r="L246" t="inlineStr">
        <is>
          <t>LT</t>
        </is>
      </c>
    </row>
    <row r="247">
      <c r="K247" t="inlineStr">
        <is>
          <t>Marshall</t>
        </is>
      </c>
      <c r="L247" t="inlineStr">
        <is>
          <t>MRSH</t>
        </is>
      </c>
    </row>
    <row r="248">
      <c r="K248" t="inlineStr">
        <is>
          <t>MRSH</t>
        </is>
      </c>
      <c r="L248" t="inlineStr">
        <is>
          <t>MRSH</t>
        </is>
      </c>
    </row>
    <row r="249">
      <c r="K249" t="inlineStr">
        <is>
          <t>Old Dominion</t>
        </is>
      </c>
      <c r="L249" t="inlineStr">
        <is>
          <t>ODU</t>
        </is>
      </c>
    </row>
    <row r="250">
      <c r="K250" t="inlineStr">
        <is>
          <t>ODU</t>
        </is>
      </c>
      <c r="L250" t="inlineStr">
        <is>
          <t>ODU</t>
        </is>
      </c>
    </row>
    <row r="251">
      <c r="K251" t="inlineStr">
        <is>
          <t>South Alabama</t>
        </is>
      </c>
      <c r="L251" t="inlineStr">
        <is>
          <t>USA</t>
        </is>
      </c>
    </row>
    <row r="252">
      <c r="K252" t="inlineStr">
        <is>
          <t>USA</t>
        </is>
      </c>
      <c r="L252" t="inlineStr">
        <is>
          <t>USA</t>
        </is>
      </c>
    </row>
    <row r="253">
      <c r="K253" t="inlineStr">
        <is>
          <t>Southern Miss</t>
        </is>
      </c>
      <c r="L253" t="inlineStr">
        <is>
          <t>USM</t>
        </is>
      </c>
    </row>
    <row r="254">
      <c r="K254" t="inlineStr">
        <is>
          <t>USM</t>
        </is>
      </c>
      <c r="L254" t="inlineStr">
        <is>
          <t>USM</t>
        </is>
      </c>
    </row>
    <row r="255">
      <c r="K255" t="inlineStr">
        <is>
          <t>Troy</t>
        </is>
      </c>
      <c r="L255" t="inlineStr">
        <is>
          <t>TROY</t>
        </is>
      </c>
    </row>
    <row r="256">
      <c r="K256" t="inlineStr">
        <is>
          <t>ULM</t>
        </is>
      </c>
      <c r="L256" t="inlineStr">
        <is>
          <t>ULM</t>
        </is>
      </c>
    </row>
    <row r="257">
      <c r="K257" t="inlineStr">
        <is>
          <t>Notre Dame</t>
        </is>
      </c>
      <c r="L257" t="inlineStr">
        <is>
          <t>ND</t>
        </is>
      </c>
    </row>
    <row r="258">
      <c r="K258" t="inlineStr">
        <is>
          <t>ND</t>
        </is>
      </c>
      <c r="L258" t="inlineStr">
        <is>
          <t>ND</t>
        </is>
      </c>
    </row>
    <row r="259">
      <c r="K259" t="inlineStr">
        <is>
          <t>UConn</t>
        </is>
      </c>
      <c r="L259" t="inlineStr">
        <is>
          <t>CONN</t>
        </is>
      </c>
    </row>
    <row r="260">
      <c r="K260" t="inlineStr">
        <is>
          <t>CONN</t>
        </is>
      </c>
      <c r="L260" t="inlineStr">
        <is>
          <t>CONN</t>
        </is>
      </c>
    </row>
    <row r="261">
      <c r="K261" t="inlineStr">
        <is>
          <t>Massachusetts</t>
        </is>
      </c>
      <c r="L261" t="inlineStr">
        <is>
          <t>MASS</t>
        </is>
      </c>
    </row>
    <row r="262">
      <c r="K262" t="inlineStr">
        <is>
          <t>Miami (Ohio)</t>
        </is>
      </c>
      <c r="L262" t="inlineStr">
        <is>
          <t>M-OH</t>
        </is>
      </c>
    </row>
    <row r="263">
      <c r="K263" t="inlineStr">
        <is>
          <t>San Jose State</t>
        </is>
      </c>
      <c r="L263" t="inlineStr">
        <is>
          <t>SJSU</t>
        </is>
      </c>
    </row>
    <row r="264">
      <c r="K264" t="inlineStr">
        <is>
          <t>Hawaii</t>
        </is>
      </c>
      <c r="L264" t="inlineStr">
        <is>
          <t>HAW</t>
        </is>
      </c>
    </row>
    <row r="265">
      <c r="K265" t="inlineStr">
        <is>
          <t>Connecticut</t>
        </is>
      </c>
      <c r="L265" t="inlineStr">
        <is>
          <t>CONN</t>
        </is>
      </c>
    </row>
    <row r="266">
      <c r="K266" t="inlineStr">
        <is>
          <t>Louisiana Monroe</t>
        </is>
      </c>
      <c r="L266" t="inlineStr">
        <is>
          <t>ULM</t>
        </is>
      </c>
    </row>
    <row r="267">
      <c r="K267" t="inlineStr">
        <is>
          <t>UL Monroe</t>
        </is>
      </c>
      <c r="L267" t="inlineStr">
        <is>
          <t>ULM</t>
        </is>
      </c>
    </row>
    <row r="268">
      <c r="K268" t="inlineStr">
        <is>
          <t>Louisiana-Monroe</t>
        </is>
      </c>
      <c r="L268" t="inlineStr">
        <is>
          <t>ULM</t>
        </is>
      </c>
    </row>
    <row r="269">
      <c r="K269" t="inlineStr">
        <is>
          <t>App State</t>
        </is>
      </c>
      <c r="L269" t="inlineStr">
        <is>
          <t>APP</t>
        </is>
      </c>
    </row>
    <row r="270">
      <c r="K270" t="inlineStr">
        <is>
          <t>Sam Houston State</t>
        </is>
      </c>
      <c r="L270" t="inlineStr">
        <is>
          <t>SHSU</t>
        </is>
      </c>
    </row>
    <row r="271">
      <c r="K271" t="inlineStr">
        <is>
          <t>Southern Mississippi</t>
        </is>
      </c>
      <c r="L271" t="inlineStr">
        <is>
          <t>USM</t>
        </is>
      </c>
    </row>
    <row r="272">
      <c r="K272" t="inlineStr">
        <is>
          <t>Mississippi</t>
        </is>
      </c>
      <c r="L272" t="inlineStr">
        <is>
          <t>MISS</t>
        </is>
      </c>
    </row>
    <row r="273">
      <c r="K273" t="inlineStr">
        <is>
          <t>UT San Antonio</t>
        </is>
      </c>
      <c r="L273" t="inlineStr">
        <is>
          <t>UTSA</t>
        </is>
      </c>
    </row>
    <row r="274">
      <c r="K274" t="inlineStr">
        <is>
          <t>Texas-El Paso</t>
        </is>
      </c>
      <c r="L274" t="inlineStr">
        <is>
          <t>UTEP</t>
        </is>
      </c>
    </row>
    <row r="275">
      <c r="K275" t="inlineStr">
        <is>
          <t>Florida International</t>
        </is>
      </c>
      <c r="L275" t="inlineStr">
        <is>
          <t>FIU</t>
        </is>
      </c>
    </row>
    <row r="276">
      <c r="K276" t="inlineStr">
        <is>
          <t>Middle Tennessee State</t>
        </is>
      </c>
      <c r="L276" t="inlineStr">
        <is>
          <t>MTSU</t>
        </is>
      </c>
    </row>
    <row r="277">
      <c r="K277" t="inlineStr">
        <is>
          <t>UL Lafayette</t>
        </is>
      </c>
      <c r="L277" t="inlineStr">
        <is>
          <t>ULL</t>
        </is>
      </c>
    </row>
    <row r="278">
      <c r="K278" t="inlineStr">
        <is>
          <t>Louisiana-Lafayette</t>
        </is>
      </c>
      <c r="L278" t="inlineStr">
        <is>
          <t>ULL</t>
        </is>
      </c>
    </row>
    <row r="279">
      <c r="K279" t="inlineStr">
        <is>
          <t>North Carolina State</t>
        </is>
      </c>
      <c r="L279" t="inlineStr">
        <is>
          <t>NCST</t>
        </is>
      </c>
    </row>
    <row r="280">
      <c r="K280" t="inlineStr">
        <is>
          <t>Army West Point</t>
        </is>
      </c>
      <c r="L280" t="inlineStr">
        <is>
          <t>ARMY</t>
        </is>
      </c>
    </row>
    <row r="281">
      <c r="K281" t="inlineStr">
        <is>
          <t>Alabama Crimson Tide</t>
        </is>
      </c>
      <c r="L281" t="inlineStr">
        <is>
          <t>ALA</t>
        </is>
      </c>
    </row>
    <row r="282">
      <c r="K282" t="inlineStr">
        <is>
          <t>Arkansas Razorbacks</t>
        </is>
      </c>
      <c r="L282" t="inlineStr">
        <is>
          <t>ARK</t>
        </is>
      </c>
    </row>
    <row r="283">
      <c r="K283" t="inlineStr">
        <is>
          <t>Auburn Tigers</t>
        </is>
      </c>
      <c r="L283" t="inlineStr">
        <is>
          <t>AUB</t>
        </is>
      </c>
    </row>
    <row r="284">
      <c r="K284" t="inlineStr">
        <is>
          <t>Florida Gators</t>
        </is>
      </c>
      <c r="L284" t="inlineStr">
        <is>
          <t>FLA</t>
        </is>
      </c>
    </row>
    <row r="285">
      <c r="K285" t="inlineStr">
        <is>
          <t>Georgia Bulldogs</t>
        </is>
      </c>
      <c r="L285" t="inlineStr">
        <is>
          <t>UGA</t>
        </is>
      </c>
    </row>
    <row r="286">
      <c r="K286" t="inlineStr">
        <is>
          <t>Kentucky Wildcats</t>
        </is>
      </c>
      <c r="L286" t="inlineStr">
        <is>
          <t>UK</t>
        </is>
      </c>
    </row>
    <row r="287">
      <c r="K287" t="inlineStr">
        <is>
          <t>LSU Tigers</t>
        </is>
      </c>
      <c r="L287" t="inlineStr">
        <is>
          <t>LSU</t>
        </is>
      </c>
    </row>
    <row r="288">
      <c r="K288" t="inlineStr">
        <is>
          <t>Mississippi State Bulldogs</t>
        </is>
      </c>
      <c r="L288" t="inlineStr">
        <is>
          <t>MSST</t>
        </is>
      </c>
    </row>
    <row r="289">
      <c r="K289" t="inlineStr">
        <is>
          <t>Missouri Tigers</t>
        </is>
      </c>
      <c r="L289" t="inlineStr">
        <is>
          <t>MIZ</t>
        </is>
      </c>
    </row>
    <row r="290">
      <c r="K290" t="inlineStr">
        <is>
          <t>Oklahoma Sooners</t>
        </is>
      </c>
      <c r="L290" t="inlineStr">
        <is>
          <t>OU</t>
        </is>
      </c>
    </row>
    <row r="291">
      <c r="K291" t="inlineStr">
        <is>
          <t>Ole Miss Rebels</t>
        </is>
      </c>
      <c r="L291" t="inlineStr">
        <is>
          <t>MISS</t>
        </is>
      </c>
    </row>
    <row r="292">
      <c r="K292" t="inlineStr">
        <is>
          <t>South Carolina Gamecocks</t>
        </is>
      </c>
      <c r="L292" t="inlineStr">
        <is>
          <t>SCAR</t>
        </is>
      </c>
    </row>
    <row r="293">
      <c r="K293" t="inlineStr">
        <is>
          <t>Tennessee Volunteers</t>
        </is>
      </c>
      <c r="L293" t="inlineStr">
        <is>
          <t>TENN</t>
        </is>
      </c>
    </row>
    <row r="294">
      <c r="K294" t="inlineStr">
        <is>
          <t>Texas Longhorns</t>
        </is>
      </c>
      <c r="L294" t="inlineStr">
        <is>
          <t>TEX</t>
        </is>
      </c>
    </row>
    <row r="295">
      <c r="K295" t="inlineStr">
        <is>
          <t>Texas A&amp;M Aggies</t>
        </is>
      </c>
      <c r="L295" t="inlineStr">
        <is>
          <t>TAMU</t>
        </is>
      </c>
    </row>
    <row r="296">
      <c r="K296" t="inlineStr">
        <is>
          <t>Vanderbilt Commodores</t>
        </is>
      </c>
      <c r="L296" t="inlineStr">
        <is>
          <t>VAN</t>
        </is>
      </c>
    </row>
    <row r="297">
      <c r="K297" t="inlineStr">
        <is>
          <t>Illinois Fighting Illini</t>
        </is>
      </c>
      <c r="L297" t="inlineStr">
        <is>
          <t>ILL</t>
        </is>
      </c>
    </row>
    <row r="298">
      <c r="K298" t="inlineStr">
        <is>
          <t>Indiana Hoosiers</t>
        </is>
      </c>
      <c r="L298" t="inlineStr">
        <is>
          <t>IND</t>
        </is>
      </c>
    </row>
    <row r="299">
      <c r="K299" t="inlineStr">
        <is>
          <t>Iowa Hawkeyes</t>
        </is>
      </c>
      <c r="L299" t="inlineStr">
        <is>
          <t>IOWA</t>
        </is>
      </c>
    </row>
    <row r="300">
      <c r="K300" t="inlineStr">
        <is>
          <t>Maryland Terrapins</t>
        </is>
      </c>
      <c r="L300" t="inlineStr">
        <is>
          <t>MD</t>
        </is>
      </c>
    </row>
    <row r="301">
      <c r="K301" t="inlineStr">
        <is>
          <t>Michigan Wolverines</t>
        </is>
      </c>
      <c r="L301" t="inlineStr">
        <is>
          <t>MICH</t>
        </is>
      </c>
    </row>
    <row r="302">
      <c r="K302" t="inlineStr">
        <is>
          <t>Michigan State Spartans</t>
        </is>
      </c>
      <c r="L302" t="inlineStr">
        <is>
          <t>MSU</t>
        </is>
      </c>
    </row>
    <row r="303">
      <c r="K303" t="inlineStr">
        <is>
          <t>Minnesota Golden Gophers</t>
        </is>
      </c>
      <c r="L303" t="inlineStr">
        <is>
          <t>MINN</t>
        </is>
      </c>
    </row>
    <row r="304">
      <c r="K304" t="inlineStr">
        <is>
          <t>Nebraska Cornhuskers</t>
        </is>
      </c>
      <c r="L304" t="inlineStr">
        <is>
          <t>NEB</t>
        </is>
      </c>
    </row>
    <row r="305">
      <c r="K305" t="inlineStr">
        <is>
          <t>Northwestern Wildcats</t>
        </is>
      </c>
      <c r="L305" t="inlineStr">
        <is>
          <t>NW</t>
        </is>
      </c>
    </row>
    <row r="306">
      <c r="K306" t="inlineStr">
        <is>
          <t>Ohio State Buckeyes</t>
        </is>
      </c>
      <c r="L306" t="inlineStr">
        <is>
          <t>OHST</t>
        </is>
      </c>
    </row>
    <row r="307">
      <c r="K307" t="inlineStr">
        <is>
          <t>Oregon Ducks</t>
        </is>
      </c>
      <c r="L307" t="inlineStr">
        <is>
          <t>ORE</t>
        </is>
      </c>
    </row>
    <row r="308">
      <c r="K308" t="inlineStr">
        <is>
          <t>Penn State Nittany Lions</t>
        </is>
      </c>
      <c r="L308" t="inlineStr">
        <is>
          <t>PSU</t>
        </is>
      </c>
    </row>
    <row r="309">
      <c r="K309" t="inlineStr">
        <is>
          <t>Purdue Boilermakers</t>
        </is>
      </c>
      <c r="L309" t="inlineStr">
        <is>
          <t>PUR</t>
        </is>
      </c>
    </row>
    <row r="310">
      <c r="K310" t="inlineStr">
        <is>
          <t>Rutgers Scarlet Knights</t>
        </is>
      </c>
      <c r="L310" t="inlineStr">
        <is>
          <t>RUTG</t>
        </is>
      </c>
    </row>
    <row r="311">
      <c r="K311" t="inlineStr">
        <is>
          <t>UCLA Bruins</t>
        </is>
      </c>
      <c r="L311" t="inlineStr">
        <is>
          <t>UCLA</t>
        </is>
      </c>
    </row>
    <row r="312">
      <c r="K312" t="inlineStr">
        <is>
          <t>USC Trojans</t>
        </is>
      </c>
      <c r="L312" t="inlineStr">
        <is>
          <t>USC</t>
        </is>
      </c>
    </row>
    <row r="313">
      <c r="K313" t="inlineStr">
        <is>
          <t>Washington Huskies</t>
        </is>
      </c>
      <c r="L313" t="inlineStr">
        <is>
          <t>WASH</t>
        </is>
      </c>
    </row>
    <row r="314">
      <c r="K314" t="inlineStr">
        <is>
          <t>Wisconsin Badgers</t>
        </is>
      </c>
      <c r="L314" t="inlineStr">
        <is>
          <t>WISC</t>
        </is>
      </c>
    </row>
    <row r="315">
      <c r="K315" t="inlineStr">
        <is>
          <t>Arizona Wildcats</t>
        </is>
      </c>
      <c r="L315" t="inlineStr">
        <is>
          <t>ARIZ</t>
        </is>
      </c>
    </row>
    <row r="316">
      <c r="K316" t="inlineStr">
        <is>
          <t>Arizona State Sun Devils</t>
        </is>
      </c>
      <c r="L316" t="inlineStr">
        <is>
          <t>AZST</t>
        </is>
      </c>
    </row>
    <row r="317">
      <c r="K317" t="inlineStr">
        <is>
          <t>Baylor Bears</t>
        </is>
      </c>
      <c r="L317" t="inlineStr">
        <is>
          <t>BAY</t>
        </is>
      </c>
    </row>
    <row r="318">
      <c r="K318" t="inlineStr">
        <is>
          <t>BYU Cougars</t>
        </is>
      </c>
      <c r="L318" t="inlineStr">
        <is>
          <t>BYU</t>
        </is>
      </c>
    </row>
    <row r="319">
      <c r="K319" t="inlineStr">
        <is>
          <t>Cincinnati Bearcats</t>
        </is>
      </c>
      <c r="L319" t="inlineStr">
        <is>
          <t>CIN</t>
        </is>
      </c>
    </row>
    <row r="320">
      <c r="K320" t="inlineStr">
        <is>
          <t>Colorado Buffaloes</t>
        </is>
      </c>
      <c r="L320" t="inlineStr">
        <is>
          <t>COLO</t>
        </is>
      </c>
    </row>
    <row r="321">
      <c r="K321" t="inlineStr">
        <is>
          <t>Houston Cougars</t>
        </is>
      </c>
      <c r="L321" t="inlineStr">
        <is>
          <t>HOU</t>
        </is>
      </c>
    </row>
    <row r="322">
      <c r="K322" t="inlineStr">
        <is>
          <t>Iowa State Cyclones</t>
        </is>
      </c>
      <c r="L322" t="inlineStr">
        <is>
          <t>ISU</t>
        </is>
      </c>
    </row>
    <row r="323">
      <c r="K323" t="inlineStr">
        <is>
          <t>Kansas Jayhawks</t>
        </is>
      </c>
      <c r="L323" t="inlineStr">
        <is>
          <t>KAN</t>
        </is>
      </c>
    </row>
    <row r="324">
      <c r="K324" t="inlineStr">
        <is>
          <t>Kansas State Wildcats</t>
        </is>
      </c>
      <c r="L324" t="inlineStr">
        <is>
          <t>KSU</t>
        </is>
      </c>
    </row>
    <row r="325">
      <c r="K325" t="inlineStr">
        <is>
          <t>Oklahoma State Cowboys</t>
        </is>
      </c>
      <c r="L325" t="inlineStr">
        <is>
          <t>OKST</t>
        </is>
      </c>
    </row>
    <row r="326">
      <c r="K326" t="inlineStr">
        <is>
          <t>TCU Horned Frogs</t>
        </is>
      </c>
      <c r="L326" t="inlineStr">
        <is>
          <t>TCU</t>
        </is>
      </c>
    </row>
    <row r="327">
      <c r="K327" t="inlineStr">
        <is>
          <t>Texas Tech Red Raiders</t>
        </is>
      </c>
      <c r="L327" t="inlineStr">
        <is>
          <t>TTU</t>
        </is>
      </c>
    </row>
    <row r="328">
      <c r="K328" t="inlineStr">
        <is>
          <t>UCF Knights</t>
        </is>
      </c>
      <c r="L328" t="inlineStr">
        <is>
          <t>UCF</t>
        </is>
      </c>
    </row>
    <row r="329">
      <c r="K329" t="inlineStr">
        <is>
          <t>Utah Utes</t>
        </is>
      </c>
      <c r="L329" t="inlineStr">
        <is>
          <t>UTAH</t>
        </is>
      </c>
    </row>
    <row r="330">
      <c r="K330" t="inlineStr">
        <is>
          <t>West Virginia Mountaineers</t>
        </is>
      </c>
      <c r="L330" t="inlineStr">
        <is>
          <t>WVU</t>
        </is>
      </c>
    </row>
    <row r="331">
      <c r="K331" t="inlineStr">
        <is>
          <t>Boston College Eagles</t>
        </is>
      </c>
      <c r="L331" t="inlineStr">
        <is>
          <t>BC</t>
        </is>
      </c>
    </row>
    <row r="332">
      <c r="K332" t="inlineStr">
        <is>
          <t>California Golden Bears</t>
        </is>
      </c>
      <c r="L332" t="inlineStr">
        <is>
          <t>CAL</t>
        </is>
      </c>
    </row>
    <row r="333">
      <c r="K333" t="inlineStr">
        <is>
          <t>Clemson Tigers</t>
        </is>
      </c>
      <c r="L333" t="inlineStr">
        <is>
          <t>CLEM</t>
        </is>
      </c>
    </row>
    <row r="334">
      <c r="K334" t="inlineStr">
        <is>
          <t>Duke Blue Devils</t>
        </is>
      </c>
      <c r="L334" t="inlineStr">
        <is>
          <t>DUKE</t>
        </is>
      </c>
    </row>
    <row r="335">
      <c r="K335" t="inlineStr">
        <is>
          <t>Florida State Seminoles</t>
        </is>
      </c>
      <c r="L335" t="inlineStr">
        <is>
          <t>FSU</t>
        </is>
      </c>
    </row>
    <row r="336">
      <c r="K336" t="inlineStr">
        <is>
          <t>Georgia Tech Yellow Jackets</t>
        </is>
      </c>
      <c r="L336" t="inlineStr">
        <is>
          <t>GT</t>
        </is>
      </c>
    </row>
    <row r="337">
      <c r="K337" t="inlineStr">
        <is>
          <t>Louisville Cardinals</t>
        </is>
      </c>
      <c r="L337" t="inlineStr">
        <is>
          <t>LOU</t>
        </is>
      </c>
    </row>
    <row r="338">
      <c r="K338" t="inlineStr">
        <is>
          <t>Miami Hurricanes</t>
        </is>
      </c>
      <c r="L338" t="inlineStr">
        <is>
          <t>MIA</t>
        </is>
      </c>
    </row>
    <row r="339">
      <c r="K339" t="inlineStr">
        <is>
          <t>NC State Wolfpack</t>
        </is>
      </c>
      <c r="L339" t="inlineStr">
        <is>
          <t>NCST</t>
        </is>
      </c>
    </row>
    <row r="340">
      <c r="K340" t="inlineStr">
        <is>
          <t>North Carolina Tar Heels</t>
        </is>
      </c>
      <c r="L340" t="inlineStr">
        <is>
          <t>UNC</t>
        </is>
      </c>
    </row>
    <row r="341">
      <c r="K341" t="inlineStr">
        <is>
          <t>Pittsburgh Panthers</t>
        </is>
      </c>
      <c r="L341" t="inlineStr">
        <is>
          <t>PITT</t>
        </is>
      </c>
    </row>
    <row r="342">
      <c r="K342" t="inlineStr">
        <is>
          <t>SMU Mustangs</t>
        </is>
      </c>
      <c r="L342" t="inlineStr">
        <is>
          <t>SMU</t>
        </is>
      </c>
    </row>
    <row r="343">
      <c r="K343" t="inlineStr">
        <is>
          <t>Stanford Cardinal</t>
        </is>
      </c>
      <c r="L343" t="inlineStr">
        <is>
          <t>STAN</t>
        </is>
      </c>
    </row>
    <row r="344">
      <c r="K344" t="inlineStr">
        <is>
          <t>Syracuse Orange</t>
        </is>
      </c>
      <c r="L344" t="inlineStr">
        <is>
          <t>SYR</t>
        </is>
      </c>
    </row>
    <row r="345">
      <c r="K345" t="inlineStr">
        <is>
          <t>Virginia Cavaliers</t>
        </is>
      </c>
      <c r="L345" t="inlineStr">
        <is>
          <t>UVA</t>
        </is>
      </c>
    </row>
    <row r="346">
      <c r="K346" t="inlineStr">
        <is>
          <t>Virginia Tech Hokies</t>
        </is>
      </c>
      <c r="L346" t="inlineStr">
        <is>
          <t>VT</t>
        </is>
      </c>
    </row>
    <row r="347">
      <c r="K347" t="inlineStr">
        <is>
          <t>Wake Forest Demon Deacons</t>
        </is>
      </c>
      <c r="L347" t="inlineStr">
        <is>
          <t>WAKE</t>
        </is>
      </c>
    </row>
    <row r="348">
      <c r="K348" t="inlineStr">
        <is>
          <t>Boise State Broncos</t>
        </is>
      </c>
      <c r="L348" t="inlineStr">
        <is>
          <t>BSU</t>
        </is>
      </c>
    </row>
    <row r="349">
      <c r="K349" t="inlineStr">
        <is>
          <t>Colorado State Rams</t>
        </is>
      </c>
      <c r="L349" t="inlineStr">
        <is>
          <t>CSU</t>
        </is>
      </c>
    </row>
    <row r="350">
      <c r="K350" t="inlineStr">
        <is>
          <t>Fresno State Bulldogs</t>
        </is>
      </c>
      <c r="L350" t="inlineStr">
        <is>
          <t>FRES</t>
        </is>
      </c>
    </row>
    <row r="351">
      <c r="K351" t="inlineStr">
        <is>
          <t>Oregon State Beavers</t>
        </is>
      </c>
      <c r="L351" t="inlineStr">
        <is>
          <t>ORST</t>
        </is>
      </c>
    </row>
    <row r="352">
      <c r="K352" t="inlineStr">
        <is>
          <t>San Diego State Aztecs</t>
        </is>
      </c>
      <c r="L352" t="inlineStr">
        <is>
          <t>SDSU</t>
        </is>
      </c>
    </row>
    <row r="353">
      <c r="K353" t="inlineStr">
        <is>
          <t>Texas State Bobcats</t>
        </is>
      </c>
      <c r="L353" t="inlineStr">
        <is>
          <t>TXST</t>
        </is>
      </c>
    </row>
    <row r="354">
      <c r="K354" t="inlineStr">
        <is>
          <t>Utah State Aggies</t>
        </is>
      </c>
      <c r="L354" t="inlineStr">
        <is>
          <t>USU</t>
        </is>
      </c>
    </row>
    <row r="355">
      <c r="K355" t="inlineStr">
        <is>
          <t>Washington State Cougars</t>
        </is>
      </c>
      <c r="L355" t="inlineStr">
        <is>
          <t>WSU</t>
        </is>
      </c>
    </row>
    <row r="356">
      <c r="K356" t="inlineStr">
        <is>
          <t>Army Black Knights</t>
        </is>
      </c>
      <c r="L356" t="inlineStr">
        <is>
          <t>ARMY</t>
        </is>
      </c>
    </row>
    <row r="357">
      <c r="K357" t="inlineStr">
        <is>
          <t>Charlotte 49ers</t>
        </is>
      </c>
      <c r="L357" t="inlineStr">
        <is>
          <t>CLT</t>
        </is>
      </c>
    </row>
    <row r="358">
      <c r="K358" t="inlineStr">
        <is>
          <t>East Carolina Pirates</t>
        </is>
      </c>
      <c r="L358" t="inlineStr">
        <is>
          <t>ECU</t>
        </is>
      </c>
    </row>
    <row r="359">
      <c r="K359" t="inlineStr">
        <is>
          <t>Florida Atlantic Owls</t>
        </is>
      </c>
      <c r="L359" t="inlineStr">
        <is>
          <t>FAU</t>
        </is>
      </c>
    </row>
    <row r="360">
      <c r="K360" t="inlineStr">
        <is>
          <t>Memphis Tigers</t>
        </is>
      </c>
      <c r="L360" t="inlineStr">
        <is>
          <t>MEM</t>
        </is>
      </c>
    </row>
    <row r="361">
      <c r="K361" t="inlineStr">
        <is>
          <t>Navy Midshipmen</t>
        </is>
      </c>
      <c r="L361" t="inlineStr">
        <is>
          <t>NAVY</t>
        </is>
      </c>
    </row>
    <row r="362">
      <c r="K362" t="inlineStr">
        <is>
          <t>North Texas Mean Green</t>
        </is>
      </c>
      <c r="L362" t="inlineStr">
        <is>
          <t>UNT</t>
        </is>
      </c>
    </row>
    <row r="363">
      <c r="K363" t="inlineStr">
        <is>
          <t>Rice Owls</t>
        </is>
      </c>
      <c r="L363" t="inlineStr">
        <is>
          <t>RICE</t>
        </is>
      </c>
    </row>
    <row r="364">
      <c r="K364" t="inlineStr">
        <is>
          <t>South Florida Bulls</t>
        </is>
      </c>
      <c r="L364" t="inlineStr">
        <is>
          <t>USF</t>
        </is>
      </c>
    </row>
    <row r="365">
      <c r="K365" t="inlineStr">
        <is>
          <t>Temple Owls</t>
        </is>
      </c>
      <c r="L365" t="inlineStr">
        <is>
          <t>TEM</t>
        </is>
      </c>
    </row>
    <row r="366">
      <c r="K366" t="inlineStr">
        <is>
          <t>Tulane Green Wave</t>
        </is>
      </c>
      <c r="L366" t="inlineStr">
        <is>
          <t>TULN</t>
        </is>
      </c>
    </row>
    <row r="367">
      <c r="K367" t="inlineStr">
        <is>
          <t>Tulsa Golden Hurricane</t>
        </is>
      </c>
      <c r="L367" t="inlineStr">
        <is>
          <t>TLSA</t>
        </is>
      </c>
    </row>
    <row r="368">
      <c r="K368" t="inlineStr">
        <is>
          <t>UAB Blazers</t>
        </is>
      </c>
      <c r="L368" t="inlineStr">
        <is>
          <t>UAB</t>
        </is>
      </c>
    </row>
    <row r="369">
      <c r="K369" t="inlineStr">
        <is>
          <t>UTSA Roadrunners</t>
        </is>
      </c>
      <c r="L369" t="inlineStr">
        <is>
          <t>UTSA</t>
        </is>
      </c>
    </row>
    <row r="370">
      <c r="K370" t="inlineStr">
        <is>
          <t>Delaware Blue Hens</t>
        </is>
      </c>
      <c r="L370" t="inlineStr">
        <is>
          <t>DEL</t>
        </is>
      </c>
    </row>
    <row r="371">
      <c r="K371" t="inlineStr">
        <is>
          <t>Florida International Panthers</t>
        </is>
      </c>
      <c r="L371" t="inlineStr">
        <is>
          <t>FIU</t>
        </is>
      </c>
    </row>
    <row r="372">
      <c r="K372" t="inlineStr">
        <is>
          <t>Jacksonville State Gamecocks</t>
        </is>
      </c>
      <c r="L372" t="inlineStr">
        <is>
          <t>JVST</t>
        </is>
      </c>
    </row>
    <row r="373">
      <c r="K373" t="inlineStr">
        <is>
          <t>Kennesaw State Owls</t>
        </is>
      </c>
      <c r="L373" t="inlineStr">
        <is>
          <t>KENN</t>
        </is>
      </c>
    </row>
    <row r="374">
      <c r="K374" t="inlineStr">
        <is>
          <t>Liberty Flames</t>
        </is>
      </c>
      <c r="L374" t="inlineStr">
        <is>
          <t>LIB</t>
        </is>
      </c>
    </row>
    <row r="375">
      <c r="K375" t="inlineStr">
        <is>
          <t>Middle Tennessee Blue Raiders</t>
        </is>
      </c>
      <c r="L375" t="inlineStr">
        <is>
          <t>MTSU</t>
        </is>
      </c>
    </row>
    <row r="376">
      <c r="K376" t="inlineStr">
        <is>
          <t>Missouri State Bears</t>
        </is>
      </c>
      <c r="L376" t="inlineStr">
        <is>
          <t>MOST</t>
        </is>
      </c>
    </row>
    <row r="377">
      <c r="K377" t="inlineStr">
        <is>
          <t>New Mexico State Aggies</t>
        </is>
      </c>
      <c r="L377" t="inlineStr">
        <is>
          <t>NMSU</t>
        </is>
      </c>
    </row>
    <row r="378">
      <c r="K378" t="inlineStr">
        <is>
          <t>Sam Houston Bearkats</t>
        </is>
      </c>
      <c r="L378" t="inlineStr">
        <is>
          <t>SHSU</t>
        </is>
      </c>
    </row>
    <row r="379">
      <c r="K379" t="inlineStr">
        <is>
          <t>Western Kentucky Hilltoppers</t>
        </is>
      </c>
      <c r="L379" t="inlineStr">
        <is>
          <t>WKU</t>
        </is>
      </c>
    </row>
    <row r="380">
      <c r="K380" t="inlineStr">
        <is>
          <t>Akron Zips</t>
        </is>
      </c>
      <c r="L380" t="inlineStr">
        <is>
          <t>AKR</t>
        </is>
      </c>
    </row>
    <row r="381">
      <c r="K381" t="inlineStr">
        <is>
          <t>Ball State Cardinals</t>
        </is>
      </c>
      <c r="L381" t="inlineStr">
        <is>
          <t>BALL</t>
        </is>
      </c>
    </row>
    <row r="382">
      <c r="K382" t="inlineStr">
        <is>
          <t>Bowling Green Falcons</t>
        </is>
      </c>
      <c r="L382" t="inlineStr">
        <is>
          <t>BGSU</t>
        </is>
      </c>
    </row>
    <row r="383">
      <c r="K383" t="inlineStr">
        <is>
          <t>Buffalo Bulls</t>
        </is>
      </c>
      <c r="L383" t="inlineStr">
        <is>
          <t>BUFF</t>
        </is>
      </c>
    </row>
    <row r="384">
      <c r="K384" t="inlineStr">
        <is>
          <t>Central Michigan Chippewas</t>
        </is>
      </c>
      <c r="L384" t="inlineStr">
        <is>
          <t>CMU</t>
        </is>
      </c>
    </row>
    <row r="385">
      <c r="K385" t="inlineStr">
        <is>
          <t>Eastern Michigan Eagles</t>
        </is>
      </c>
      <c r="L385" t="inlineStr">
        <is>
          <t>EMU</t>
        </is>
      </c>
    </row>
    <row r="386">
      <c r="K386" t="inlineStr">
        <is>
          <t>Kent State Golden Flashes</t>
        </is>
      </c>
      <c r="L386" t="inlineStr">
        <is>
          <t>KENT</t>
        </is>
      </c>
    </row>
    <row r="387">
      <c r="K387" t="inlineStr">
        <is>
          <t>Miami (OH) RedHawks</t>
        </is>
      </c>
      <c r="L387" t="inlineStr">
        <is>
          <t>M-OH</t>
        </is>
      </c>
    </row>
    <row r="388">
      <c r="K388" t="inlineStr">
        <is>
          <t>Ohio Bobcats</t>
        </is>
      </c>
      <c r="L388" t="inlineStr">
        <is>
          <t>OHIO</t>
        </is>
      </c>
    </row>
    <row r="389">
      <c r="K389" t="inlineStr">
        <is>
          <t>Sacramento State Hornets</t>
        </is>
      </c>
      <c r="L389" t="inlineStr">
        <is>
          <t>SAC</t>
        </is>
      </c>
    </row>
    <row r="390">
      <c r="K390" t="inlineStr">
        <is>
          <t>Toledo Rockets</t>
        </is>
      </c>
      <c r="L390" t="inlineStr">
        <is>
          <t>TOL</t>
        </is>
      </c>
    </row>
    <row r="391">
      <c r="K391" t="inlineStr">
        <is>
          <t>Massachusetts Minutemen</t>
        </is>
      </c>
      <c r="L391" t="inlineStr">
        <is>
          <t>MASS</t>
        </is>
      </c>
    </row>
    <row r="392">
      <c r="K392" t="inlineStr">
        <is>
          <t>Western Michigan Broncos</t>
        </is>
      </c>
      <c r="L392" t="inlineStr">
        <is>
          <t>WMU</t>
        </is>
      </c>
    </row>
    <row r="393">
      <c r="K393" t="inlineStr">
        <is>
          <t>Air Force Falcons</t>
        </is>
      </c>
      <c r="L393" t="inlineStr">
        <is>
          <t>AFA</t>
        </is>
      </c>
    </row>
    <row r="394">
      <c r="K394" t="inlineStr">
        <is>
          <t>Hawai'i Rainbow Warriors</t>
        </is>
      </c>
      <c r="L394" t="inlineStr">
        <is>
          <t>HAW</t>
        </is>
      </c>
    </row>
    <row r="395">
      <c r="K395" t="inlineStr">
        <is>
          <t>Nevada Wolf Pack</t>
        </is>
      </c>
      <c r="L395" t="inlineStr">
        <is>
          <t>NEV</t>
        </is>
      </c>
    </row>
    <row r="396">
      <c r="K396" t="inlineStr">
        <is>
          <t>New Mexico Lobos</t>
        </is>
      </c>
      <c r="L396" t="inlineStr">
        <is>
          <t>UNM</t>
        </is>
      </c>
    </row>
    <row r="397">
      <c r="K397" t="inlineStr">
        <is>
          <t>North Dakota State Bison</t>
        </is>
      </c>
      <c r="L397" t="inlineStr">
        <is>
          <t>NDSU</t>
        </is>
      </c>
    </row>
    <row r="398">
      <c r="K398" t="inlineStr">
        <is>
          <t>Northern Illinois Huskies</t>
        </is>
      </c>
      <c r="L398" t="inlineStr">
        <is>
          <t>NIU</t>
        </is>
      </c>
    </row>
    <row r="399">
      <c r="K399" t="inlineStr">
        <is>
          <t>San José State Spartans</t>
        </is>
      </c>
      <c r="L399" t="inlineStr">
        <is>
          <t>SJSU</t>
        </is>
      </c>
    </row>
    <row r="400">
      <c r="K400" t="inlineStr">
        <is>
          <t>UNLV Rebels</t>
        </is>
      </c>
      <c r="L400" t="inlineStr">
        <is>
          <t>UNLV</t>
        </is>
      </c>
    </row>
    <row r="401">
      <c r="K401" t="inlineStr">
        <is>
          <t>UTEP Miners</t>
        </is>
      </c>
      <c r="L401" t="inlineStr">
        <is>
          <t>UTEP</t>
        </is>
      </c>
    </row>
    <row r="402">
      <c r="K402" t="inlineStr">
        <is>
          <t>Wyoming Cowboys</t>
        </is>
      </c>
      <c r="L402" t="inlineStr">
        <is>
          <t>WYO</t>
        </is>
      </c>
    </row>
    <row r="403">
      <c r="K403" t="inlineStr">
        <is>
          <t>App State Mountaineers</t>
        </is>
      </c>
      <c r="L403" t="inlineStr">
        <is>
          <t>APP</t>
        </is>
      </c>
    </row>
    <row r="404">
      <c r="K404" t="inlineStr">
        <is>
          <t>Arkansas State Red Wolves</t>
        </is>
      </c>
      <c r="L404" t="inlineStr">
        <is>
          <t>ARST</t>
        </is>
      </c>
    </row>
    <row r="405">
      <c r="K405" t="inlineStr">
        <is>
          <t>Coastal Carolina Chanticleers</t>
        </is>
      </c>
      <c r="L405" t="inlineStr">
        <is>
          <t>CCU</t>
        </is>
      </c>
    </row>
    <row r="406">
      <c r="K406" t="inlineStr">
        <is>
          <t>Georgia Southern Eagles</t>
        </is>
      </c>
      <c r="L406" t="inlineStr">
        <is>
          <t>GASO</t>
        </is>
      </c>
    </row>
    <row r="407">
      <c r="K407" t="inlineStr">
        <is>
          <t>Georgia State Panthers</t>
        </is>
      </c>
      <c r="L407" t="inlineStr">
        <is>
          <t>GAST</t>
        </is>
      </c>
    </row>
    <row r="408">
      <c r="K408" t="inlineStr">
        <is>
          <t>James Madison Dukes</t>
        </is>
      </c>
      <c r="L408" t="inlineStr">
        <is>
          <t>JMU</t>
        </is>
      </c>
    </row>
    <row r="409">
      <c r="K409" t="inlineStr">
        <is>
          <t>Louisiana Ragin' Cajuns</t>
        </is>
      </c>
      <c r="L409" t="inlineStr">
        <is>
          <t>ULL</t>
        </is>
      </c>
    </row>
    <row r="410">
      <c r="K410" t="inlineStr">
        <is>
          <t>Louisiana Tech Bulldogs</t>
        </is>
      </c>
      <c r="L410" t="inlineStr">
        <is>
          <t>LT</t>
        </is>
      </c>
    </row>
    <row r="411">
      <c r="K411" t="inlineStr">
        <is>
          <t>Marshall Thundering Herd</t>
        </is>
      </c>
      <c r="L411" t="inlineStr">
        <is>
          <t>MRSH</t>
        </is>
      </c>
    </row>
    <row r="412">
      <c r="K412" t="inlineStr">
        <is>
          <t>Old Dominion Monarchs</t>
        </is>
      </c>
      <c r="L412" t="inlineStr">
        <is>
          <t>ODU</t>
        </is>
      </c>
    </row>
    <row r="413">
      <c r="K413" t="inlineStr">
        <is>
          <t>South Alabama Jaguars</t>
        </is>
      </c>
      <c r="L413" t="inlineStr">
        <is>
          <t>USA</t>
        </is>
      </c>
    </row>
    <row r="414">
      <c r="K414" t="inlineStr">
        <is>
          <t>Southern Miss Golden Eagles</t>
        </is>
      </c>
      <c r="L414" t="inlineStr">
        <is>
          <t>USM</t>
        </is>
      </c>
    </row>
    <row r="415">
      <c r="K415" t="inlineStr">
        <is>
          <t>Troy Trojans</t>
        </is>
      </c>
      <c r="L415" t="inlineStr">
        <is>
          <t>TROY</t>
        </is>
      </c>
    </row>
    <row r="416">
      <c r="K416" t="inlineStr">
        <is>
          <t>UL Monroe Warhawks</t>
        </is>
      </c>
      <c r="L416" t="inlineStr">
        <is>
          <t>ULM</t>
        </is>
      </c>
    </row>
    <row r="417">
      <c r="K417" t="inlineStr">
        <is>
          <t>Notre Dame Fighting Irish</t>
        </is>
      </c>
      <c r="L417" t="inlineStr">
        <is>
          <t>ND</t>
        </is>
      </c>
    </row>
    <row r="418">
      <c r="K418" t="inlineStr">
        <is>
          <t>UConn Huskies</t>
        </is>
      </c>
      <c r="L418" t="inlineStr">
        <is>
          <t>CONN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AC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MAP'!$D6)</f>
        <v/>
      </c>
      <c r="D6" t="n">
        <v>18.2</v>
      </c>
      <c r="E6" s="1" t="n">
        <v>46108</v>
      </c>
      <c r="F6" t="inlineStr">
        <is>
          <t>https://www.espn.com/college-football/story/_/id/48306284/2026-college-football-sp+-rankings-138-fbs-teams</t>
        </is>
      </c>
      <c r="G6">
        <f>IF($D6="","",$D6-AVERAGE($D$6:$D$143))</f>
        <v/>
      </c>
      <c r="H6" t="n">
        <v>20.1</v>
      </c>
      <c r="I6" s="1" t="n">
        <v>46222</v>
      </c>
      <c r="J6" t="inlineStr">
        <is>
          <t>https://www.espn.com/college-football/fpi</t>
        </is>
      </c>
      <c r="K6">
        <f>IF($H6="","",$H6-AVERAGE($H$6:$H$143))</f>
        <v/>
      </c>
      <c r="M6">
        <f>IF($L6="","",IF($C6="FBS-RECLASSIFYING",IF($L6&lt;0,$L6,$L6*(1-SETTINGS!$B$16)),$L6*(1-SETTINGS!$B$15)))</f>
        <v/>
      </c>
      <c r="P6">
        <f>IF($M6="","",$M6-AVERAGE($M$6:$M$143))</f>
        <v/>
      </c>
      <c r="Q6" t="n">
        <v>21.6</v>
      </c>
      <c r="R6" s="1" t="n">
        <v>46222</v>
      </c>
      <c r="S6" t="inlineStr">
        <is>
          <t>https://www.teamrankings.com/college-football/ranking/predictive-by-other</t>
        </is>
      </c>
      <c r="T6">
        <f>IF($Q6="","",$Q6-AVERAGE($Q$6:$Q$143))</f>
        <v/>
      </c>
      <c r="X6">
        <f>IF($U6="","",$U6-AVERAGE($U$6:$U$143))</f>
        <v/>
      </c>
      <c r="Y6">
        <f>IF($A6="","",SETTINGS!$B$28*ISNUMBER($G6)+SETTINGS!$B$29*ISNUMBER($K6)+SETTINGS!$B$30*ISNUMBER($P6)+SETTINGS!$B$31*ISNUMBER($T6)+SETTINGS!$B$32*ISNUMBER($X6))</f>
        <v/>
      </c>
      <c r="Z6">
        <f>IF($A6="","",IF($Y6=0,"",(SETTINGS!$B$28*IF(ISNUMBER($G6),$G6,0)+SETTINGS!$B$29*IF(ISNUMBER($K6),$K6,0)+SETTINGS!$B$30*IF(ISNUMBER($P6),$P6,0)+SETTINGS!$B$31*IF(ISNUMBER($T6),$T6,0)+SETTINGS!$B$32*IF(ISNUMBER($X6),$X6,0))/$Y6))</f>
        <v/>
      </c>
      <c r="AA6">
        <f>IF($A6="","",COUNT($D6,$H6,$L6,$Q6,$U6))</f>
        <v/>
      </c>
      <c r="AB6">
        <f>IF($A6="","",IF($AA6&lt;=1,"SINGLE-SOURCE / LOW CONFIDENCE",""))</f>
        <v/>
      </c>
      <c r="AC6">
        <f>IF($A6="","",IF(AND($C6="FBS-RECLASSIFYING",ISNUMBER($L6),$L6&lt;0),"NO-AUTO-UPGRADE GUARD APPLIED",""))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MAP'!$D7)</f>
        <v/>
      </c>
      <c r="D7" t="n">
        <v>5</v>
      </c>
      <c r="E7" s="1" t="n">
        <v>46108</v>
      </c>
      <c r="F7" t="inlineStr">
        <is>
          <t>https://www.espn.com/college-football/story/_/id/48306284/2026-college-football-sp+-rankings-138-fbs-teams</t>
        </is>
      </c>
      <c r="G7">
        <f>IF($D7="","",$D7-AVERAGE($D$6:$D$143))</f>
        <v/>
      </c>
      <c r="H7" t="n">
        <v>4.4</v>
      </c>
      <c r="I7" s="1" t="n">
        <v>46222</v>
      </c>
      <c r="J7" t="inlineStr">
        <is>
          <t>https://www.espn.com/college-football/fpi</t>
        </is>
      </c>
      <c r="K7">
        <f>IF($H7="","",$H7-AVERAGE($H$6:$H$143))</f>
        <v/>
      </c>
      <c r="M7">
        <f>IF($L7="","",IF($C7="FBS-RECLASSIFYING",IF($L7&lt;0,$L7,$L7*(1-SETTINGS!$B$16)),$L7*(1-SETTINGS!$B$15)))</f>
        <v/>
      </c>
      <c r="P7">
        <f>IF($M7="","",$M7-AVERAGE($M$6:$M$143))</f>
        <v/>
      </c>
      <c r="Q7" t="n">
        <v>4.7</v>
      </c>
      <c r="R7" s="1" t="n">
        <v>46222</v>
      </c>
      <c r="S7" t="inlineStr">
        <is>
          <t>https://www.teamrankings.com/college-football/ranking/predictive-by-other</t>
        </is>
      </c>
      <c r="T7">
        <f>IF($Q7="","",$Q7-AVERAGE($Q$6:$Q$143))</f>
        <v/>
      </c>
      <c r="X7">
        <f>IF($U7="","",$U7-AVERAGE($U$6:$U$143))</f>
        <v/>
      </c>
      <c r="Y7">
        <f>IF($A7="","",SETTINGS!$B$28*ISNUMBER($G7)+SETTINGS!$B$29*ISNUMBER($K7)+SETTINGS!$B$30*ISNUMBER($P7)+SETTINGS!$B$31*ISNUMBER($T7)+SETTINGS!$B$32*ISNUMBER($X7))</f>
        <v/>
      </c>
      <c r="Z7">
        <f>IF($A7="","",IF($Y7=0,"",(SETTINGS!$B$28*IF(ISNUMBER($G7),$G7,0)+SETTINGS!$B$29*IF(ISNUMBER($K7),$K7,0)+SETTINGS!$B$30*IF(ISNUMBER($P7),$P7,0)+SETTINGS!$B$31*IF(ISNUMBER($T7),$T7,0)+SETTINGS!$B$32*IF(ISNUMBER($X7),$X7,0))/$Y7))</f>
        <v/>
      </c>
      <c r="AA7">
        <f>IF($A7="","",COUNT($D7,$H7,$L7,$Q7,$U7))</f>
        <v/>
      </c>
      <c r="AB7">
        <f>IF($A7="","",IF($AA7&lt;=1,"SINGLE-SOURCE / LOW CONFIDENCE",""))</f>
        <v/>
      </c>
      <c r="AC7">
        <f>IF($A7="","",IF(AND($C7="FBS-RECLASSIFYING",ISNUMBER($L7),$L7&lt;0),"NO-AUTO-UPGRADE GUARD APPLIED",""))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MAP'!$D8)</f>
        <v/>
      </c>
      <c r="D8" t="n">
        <v>11.2</v>
      </c>
      <c r="E8" s="1" t="n">
        <v>46108</v>
      </c>
      <c r="F8" t="inlineStr">
        <is>
          <t>https://www.espn.com/college-football/story/_/id/48306284/2026-college-football-sp+-rankings-138-fbs-teams</t>
        </is>
      </c>
      <c r="G8">
        <f>IF($D8="","",$D8-AVERAGE($D$6:$D$143))</f>
        <v/>
      </c>
      <c r="H8" t="n">
        <v>12</v>
      </c>
      <c r="I8" s="1" t="n">
        <v>46222</v>
      </c>
      <c r="J8" t="inlineStr">
        <is>
          <t>https://www.espn.com/college-football/fpi</t>
        </is>
      </c>
      <c r="K8">
        <f>IF($H8="","",$H8-AVERAGE($H$6:$H$143))</f>
        <v/>
      </c>
      <c r="M8">
        <f>IF($L8="","",IF($C8="FBS-RECLASSIFYING",IF($L8&lt;0,$L8,$L8*(1-SETTINGS!$B$16)),$L8*(1-SETTINGS!$B$15)))</f>
        <v/>
      </c>
      <c r="P8">
        <f>IF($M8="","",$M8-AVERAGE($M$6:$M$143))</f>
        <v/>
      </c>
      <c r="Q8" t="n">
        <v>13.4</v>
      </c>
      <c r="R8" s="1" t="n">
        <v>46222</v>
      </c>
      <c r="S8" t="inlineStr">
        <is>
          <t>https://www.teamrankings.com/college-football/ranking/predictive-by-other</t>
        </is>
      </c>
      <c r="T8">
        <f>IF($Q8="","",$Q8-AVERAGE($Q$6:$Q$143))</f>
        <v/>
      </c>
      <c r="X8">
        <f>IF($U8="","",$U8-AVERAGE($U$6:$U$143))</f>
        <v/>
      </c>
      <c r="Y8">
        <f>IF($A8="","",SETTINGS!$B$28*ISNUMBER($G8)+SETTINGS!$B$29*ISNUMBER($K8)+SETTINGS!$B$30*ISNUMBER($P8)+SETTINGS!$B$31*ISNUMBER($T8)+SETTINGS!$B$32*ISNUMBER($X8))</f>
        <v/>
      </c>
      <c r="Z8">
        <f>IF($A8="","",IF($Y8=0,"",(SETTINGS!$B$28*IF(ISNUMBER($G8),$G8,0)+SETTINGS!$B$29*IF(ISNUMBER($K8),$K8,0)+SETTINGS!$B$30*IF(ISNUMBER($P8),$P8,0)+SETTINGS!$B$31*IF(ISNUMBER($T8),$T8,0)+SETTINGS!$B$32*IF(ISNUMBER($X8),$X8,0))/$Y8))</f>
        <v/>
      </c>
      <c r="AA8">
        <f>IF($A8="","",COUNT($D8,$H8,$L8,$Q8,$U8))</f>
        <v/>
      </c>
      <c r="AB8">
        <f>IF($A8="","",IF($AA8&lt;=1,"SINGLE-SOURCE / LOW CONFIDENCE",""))</f>
        <v/>
      </c>
      <c r="AC8">
        <f>IF($A8="","",IF(AND($C8="FBS-RECLASSIFYING",ISNUMBER($L8),$L8&lt;0),"NO-AUTO-UPGRADE GUARD APPLIED",""))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MAP'!$D9)</f>
        <v/>
      </c>
      <c r="D9" t="n">
        <v>14.9</v>
      </c>
      <c r="E9" s="1" t="n">
        <v>46108</v>
      </c>
      <c r="F9" t="inlineStr">
        <is>
          <t>https://www.espn.com/college-football/story/_/id/48306284/2026-college-football-sp+-rankings-138-fbs-teams</t>
        </is>
      </c>
      <c r="G9">
        <f>IF($D9="","",$D9-AVERAGE($D$6:$D$143))</f>
        <v/>
      </c>
      <c r="H9" t="n">
        <v>13.6</v>
      </c>
      <c r="I9" s="1" t="n">
        <v>46222</v>
      </c>
      <c r="J9" t="inlineStr">
        <is>
          <t>https://www.espn.com/college-football/fpi</t>
        </is>
      </c>
      <c r="K9">
        <f>IF($H9="","",$H9-AVERAGE($H$6:$H$143))</f>
        <v/>
      </c>
      <c r="M9">
        <f>IF($L9="","",IF($C9="FBS-RECLASSIFYING",IF($L9&lt;0,$L9,$L9*(1-SETTINGS!$B$16)),$L9*(1-SETTINGS!$B$15)))</f>
        <v/>
      </c>
      <c r="P9">
        <f>IF($M9="","",$M9-AVERAGE($M$6:$M$143))</f>
        <v/>
      </c>
      <c r="Q9" t="n">
        <v>17.4</v>
      </c>
      <c r="R9" s="1" t="n">
        <v>46222</v>
      </c>
      <c r="S9" t="inlineStr">
        <is>
          <t>https://www.teamrankings.com/college-football/ranking/predictive-by-other</t>
        </is>
      </c>
      <c r="T9">
        <f>IF($Q9="","",$Q9-AVERAGE($Q$6:$Q$143))</f>
        <v/>
      </c>
      <c r="X9">
        <f>IF($U9="","",$U9-AVERAGE($U$6:$U$143))</f>
        <v/>
      </c>
      <c r="Y9">
        <f>IF($A9="","",SETTINGS!$B$28*ISNUMBER($G9)+SETTINGS!$B$29*ISNUMBER($K9)+SETTINGS!$B$30*ISNUMBER($P9)+SETTINGS!$B$31*ISNUMBER($T9)+SETTINGS!$B$32*ISNUMBER($X9))</f>
        <v/>
      </c>
      <c r="Z9">
        <f>IF($A9="","",IF($Y9=0,"",(SETTINGS!$B$28*IF(ISNUMBER($G9),$G9,0)+SETTINGS!$B$29*IF(ISNUMBER($K9),$K9,0)+SETTINGS!$B$30*IF(ISNUMBER($P9),$P9,0)+SETTINGS!$B$31*IF(ISNUMBER($T9),$T9,0)+SETTINGS!$B$32*IF(ISNUMBER($X9),$X9,0))/$Y9))</f>
        <v/>
      </c>
      <c r="AA9">
        <f>IF($A9="","",COUNT($D9,$H9,$L9,$Q9,$U9))</f>
        <v/>
      </c>
      <c r="AB9">
        <f>IF($A9="","",IF($AA9&lt;=1,"SINGLE-SOURCE / LOW CONFIDENCE",""))</f>
        <v/>
      </c>
      <c r="AC9">
        <f>IF($A9="","",IF(AND($C9="FBS-RECLASSIFYING",ISNUMBER($L9),$L9&lt;0),"NO-AUTO-UPGRADE GUARD APPLIED",""))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MAP'!$D10)</f>
        <v/>
      </c>
      <c r="D10" t="n">
        <v>25.5</v>
      </c>
      <c r="E10" s="1" t="n">
        <v>46108</v>
      </c>
      <c r="F10" t="inlineStr">
        <is>
          <t>https://www.espn.com/college-football/story/_/id/48306284/2026-college-football-sp+-rankings-138-fbs-teams</t>
        </is>
      </c>
      <c r="G10">
        <f>IF($D10="","",$D10-AVERAGE($D$6:$D$143))</f>
        <v/>
      </c>
      <c r="H10" t="n">
        <v>24.8</v>
      </c>
      <c r="I10" s="1" t="n">
        <v>46222</v>
      </c>
      <c r="J10" t="inlineStr">
        <is>
          <t>https://www.espn.com/college-football/fpi</t>
        </is>
      </c>
      <c r="K10">
        <f>IF($H10="","",$H10-AVERAGE($H$6:$H$143))</f>
        <v/>
      </c>
      <c r="M10">
        <f>IF($L10="","",IF($C10="FBS-RECLASSIFYING",IF($L10&lt;0,$L10,$L10*(1-SETTINGS!$B$16)),$L10*(1-SETTINGS!$B$15)))</f>
        <v/>
      </c>
      <c r="P10">
        <f>IF($M10="","",$M10-AVERAGE($M$6:$M$143))</f>
        <v/>
      </c>
      <c r="Q10" t="n">
        <v>28.4</v>
      </c>
      <c r="R10" s="1" t="n">
        <v>46222</v>
      </c>
      <c r="S10" t="inlineStr">
        <is>
          <t>https://www.teamrankings.com/college-football/ranking/predictive-by-other</t>
        </is>
      </c>
      <c r="T10">
        <f>IF($Q10="","",$Q10-AVERAGE($Q$6:$Q$143))</f>
        <v/>
      </c>
      <c r="X10">
        <f>IF($U10="","",$U10-AVERAGE($U$6:$U$143))</f>
        <v/>
      </c>
      <c r="Y10">
        <f>IF($A10="","",SETTINGS!$B$28*ISNUMBER($G10)+SETTINGS!$B$29*ISNUMBER($K10)+SETTINGS!$B$30*ISNUMBER($P10)+SETTINGS!$B$31*ISNUMBER($T10)+SETTINGS!$B$32*ISNUMBER($X10))</f>
        <v/>
      </c>
      <c r="Z10">
        <f>IF($A10="","",IF($Y10=0,"",(SETTINGS!$B$28*IF(ISNUMBER($G10),$G10,0)+SETTINGS!$B$29*IF(ISNUMBER($K10),$K10,0)+SETTINGS!$B$30*IF(ISNUMBER($P10),$P10,0)+SETTINGS!$B$31*IF(ISNUMBER($T10),$T10,0)+SETTINGS!$B$32*IF(ISNUMBER($X10),$X10,0))/$Y10))</f>
        <v/>
      </c>
      <c r="AA10">
        <f>IF($A10="","",COUNT($D10,$H10,$L10,$Q10,$U10))</f>
        <v/>
      </c>
      <c r="AB10">
        <f>IF($A10="","",IF($AA10&lt;=1,"SINGLE-SOURCE / LOW CONFIDENCE",""))</f>
        <v/>
      </c>
      <c r="AC10">
        <f>IF($A10="","",IF(AND($C10="FBS-RECLASSIFYING",ISNUMBER($L10),$L10&lt;0),"NO-AUTO-UPGRADE GUARD APPLIED",""))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MAP'!$D11)</f>
        <v/>
      </c>
      <c r="D11" t="n">
        <v>3.8</v>
      </c>
      <c r="E11" s="1" t="n">
        <v>46108</v>
      </c>
      <c r="F11" t="inlineStr">
        <is>
          <t>https://www.espn.com/college-football/story/_/id/48306284/2026-college-football-sp+-rankings-138-fbs-teams</t>
        </is>
      </c>
      <c r="G11">
        <f>IF($D11="","",$D11-AVERAGE($D$6:$D$143))</f>
        <v/>
      </c>
      <c r="H11" t="n">
        <v>5.4</v>
      </c>
      <c r="I11" s="1" t="n">
        <v>46222</v>
      </c>
      <c r="J11" t="inlineStr">
        <is>
          <t>https://www.espn.com/college-football/fpi</t>
        </is>
      </c>
      <c r="K11">
        <f>IF($H11="","",$H11-AVERAGE($H$6:$H$143))</f>
        <v/>
      </c>
      <c r="M11">
        <f>IF($L11="","",IF($C11="FBS-RECLASSIFYING",IF($L11&lt;0,$L11,$L11*(1-SETTINGS!$B$16)),$L11*(1-SETTINGS!$B$15)))</f>
        <v/>
      </c>
      <c r="P11">
        <f>IF($M11="","",$M11-AVERAGE($M$6:$M$143))</f>
        <v/>
      </c>
      <c r="Q11" t="n">
        <v>8.9</v>
      </c>
      <c r="R11" s="1" t="n">
        <v>46222</v>
      </c>
      <c r="S11" t="inlineStr">
        <is>
          <t>https://www.teamrankings.com/college-football/ranking/predictive-by-other</t>
        </is>
      </c>
      <c r="T11">
        <f>IF($Q11="","",$Q11-AVERAGE($Q$6:$Q$143))</f>
        <v/>
      </c>
      <c r="X11">
        <f>IF($U11="","",$U11-AVERAGE($U$6:$U$143))</f>
        <v/>
      </c>
      <c r="Y11">
        <f>IF($A11="","",SETTINGS!$B$28*ISNUMBER($G11)+SETTINGS!$B$29*ISNUMBER($K11)+SETTINGS!$B$30*ISNUMBER($P11)+SETTINGS!$B$31*ISNUMBER($T11)+SETTINGS!$B$32*ISNUMBER($X11))</f>
        <v/>
      </c>
      <c r="Z11">
        <f>IF($A11="","",IF($Y11=0,"",(SETTINGS!$B$28*IF(ISNUMBER($G11),$G11,0)+SETTINGS!$B$29*IF(ISNUMBER($K11),$K11,0)+SETTINGS!$B$30*IF(ISNUMBER($P11),$P11,0)+SETTINGS!$B$31*IF(ISNUMBER($T11),$T11,0)+SETTINGS!$B$32*IF(ISNUMBER($X11),$X11,0))/$Y11))</f>
        <v/>
      </c>
      <c r="AA11">
        <f>IF($A11="","",COUNT($D11,$H11,$L11,$Q11,$U11))</f>
        <v/>
      </c>
      <c r="AB11">
        <f>IF($A11="","",IF($AA11&lt;=1,"SINGLE-SOURCE / LOW CONFIDENCE",""))</f>
        <v/>
      </c>
      <c r="AC11">
        <f>IF($A11="","",IF(AND($C11="FBS-RECLASSIFYING",ISNUMBER($L11),$L11&lt;0),"NO-AUTO-UPGRADE GUARD APPLIED",""))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MAP'!$D12)</f>
        <v/>
      </c>
      <c r="D12" t="n">
        <v>20.2</v>
      </c>
      <c r="E12" s="1" t="n">
        <v>46108</v>
      </c>
      <c r="F12" t="inlineStr">
        <is>
          <t>https://www.espn.com/college-football/story/_/id/48306284/2026-college-football-sp+-rankings-138-fbs-teams</t>
        </is>
      </c>
      <c r="G12">
        <f>IF($D12="","",$D12-AVERAGE($D$6:$D$143))</f>
        <v/>
      </c>
      <c r="H12" t="n">
        <v>20</v>
      </c>
      <c r="I12" s="1" t="n">
        <v>46222</v>
      </c>
      <c r="J12" t="inlineStr">
        <is>
          <t>https://www.espn.com/college-football/fpi</t>
        </is>
      </c>
      <c r="K12">
        <f>IF($H12="","",$H12-AVERAGE($H$6:$H$143))</f>
        <v/>
      </c>
      <c r="M12">
        <f>IF($L12="","",IF($C12="FBS-RECLASSIFYING",IF($L12&lt;0,$L12,$L12*(1-SETTINGS!$B$16)),$L12*(1-SETTINGS!$B$15)))</f>
        <v/>
      </c>
      <c r="P12">
        <f>IF($M12="","",$M12-AVERAGE($M$6:$M$143))</f>
        <v/>
      </c>
      <c r="Q12" t="n">
        <v>22.1</v>
      </c>
      <c r="R12" s="1" t="n">
        <v>46222</v>
      </c>
      <c r="S12" t="inlineStr">
        <is>
          <t>https://www.teamrankings.com/college-football/ranking/predictive-by-other</t>
        </is>
      </c>
      <c r="T12">
        <f>IF($Q12="","",$Q12-AVERAGE($Q$6:$Q$143))</f>
        <v/>
      </c>
      <c r="X12">
        <f>IF($U12="","",$U12-AVERAGE($U$6:$U$143))</f>
        <v/>
      </c>
      <c r="Y12">
        <f>IF($A12="","",SETTINGS!$B$28*ISNUMBER($G12)+SETTINGS!$B$29*ISNUMBER($K12)+SETTINGS!$B$30*ISNUMBER($P12)+SETTINGS!$B$31*ISNUMBER($T12)+SETTINGS!$B$32*ISNUMBER($X12))</f>
        <v/>
      </c>
      <c r="Z12">
        <f>IF($A12="","",IF($Y12=0,"",(SETTINGS!$B$28*IF(ISNUMBER($G12),$G12,0)+SETTINGS!$B$29*IF(ISNUMBER($K12),$K12,0)+SETTINGS!$B$30*IF(ISNUMBER($P12),$P12,0)+SETTINGS!$B$31*IF(ISNUMBER($T12),$T12,0)+SETTINGS!$B$32*IF(ISNUMBER($X12),$X12,0))/$Y12))</f>
        <v/>
      </c>
      <c r="AA12">
        <f>IF($A12="","",COUNT($D12,$H12,$L12,$Q12,$U12))</f>
        <v/>
      </c>
      <c r="AB12">
        <f>IF($A12="","",IF($AA12&lt;=1,"SINGLE-SOURCE / LOW CONFIDENCE",""))</f>
        <v/>
      </c>
      <c r="AC12">
        <f>IF($A12="","",IF(AND($C12="FBS-RECLASSIFYING",ISNUMBER($L12),$L12&lt;0),"NO-AUTO-UPGRADE GUARD APPLIED",""))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MAP'!$D13)</f>
        <v/>
      </c>
      <c r="D13" t="n">
        <v>3.9</v>
      </c>
      <c r="E13" s="1" t="n">
        <v>46108</v>
      </c>
      <c r="F13" t="inlineStr">
        <is>
          <t>https://www.espn.com/college-football/story/_/id/48306284/2026-college-football-sp+-rankings-138-fbs-teams</t>
        </is>
      </c>
      <c r="G13">
        <f>IF($D13="","",$D13-AVERAGE($D$6:$D$143))</f>
        <v/>
      </c>
      <c r="H13" t="n">
        <v>4.1</v>
      </c>
      <c r="I13" s="1" t="n">
        <v>46222</v>
      </c>
      <c r="J13" t="inlineStr">
        <is>
          <t>https://www.espn.com/college-football/fpi</t>
        </is>
      </c>
      <c r="K13">
        <f>IF($H13="","",$H13-AVERAGE($H$6:$H$143))</f>
        <v/>
      </c>
      <c r="M13">
        <f>IF($L13="","",IF($C13="FBS-RECLASSIFYING",IF($L13&lt;0,$L13,$L13*(1-SETTINGS!$B$16)),$L13*(1-SETTINGS!$B$15)))</f>
        <v/>
      </c>
      <c r="P13">
        <f>IF($M13="","",$M13-AVERAGE($M$6:$M$143))</f>
        <v/>
      </c>
      <c r="Q13" t="n">
        <v>6.4</v>
      </c>
      <c r="R13" s="1" t="n">
        <v>46222</v>
      </c>
      <c r="S13" t="inlineStr">
        <is>
          <t>https://www.teamrankings.com/college-football/ranking/predictive-by-other</t>
        </is>
      </c>
      <c r="T13">
        <f>IF($Q13="","",$Q13-AVERAGE($Q$6:$Q$143))</f>
        <v/>
      </c>
      <c r="X13">
        <f>IF($U13="","",$U13-AVERAGE($U$6:$U$143))</f>
        <v/>
      </c>
      <c r="Y13">
        <f>IF($A13="","",SETTINGS!$B$28*ISNUMBER($G13)+SETTINGS!$B$29*ISNUMBER($K13)+SETTINGS!$B$30*ISNUMBER($P13)+SETTINGS!$B$31*ISNUMBER($T13)+SETTINGS!$B$32*ISNUMBER($X13))</f>
        <v/>
      </c>
      <c r="Z13">
        <f>IF($A13="","",IF($Y13=0,"",(SETTINGS!$B$28*IF(ISNUMBER($G13),$G13,0)+SETTINGS!$B$29*IF(ISNUMBER($K13),$K13,0)+SETTINGS!$B$30*IF(ISNUMBER($P13),$P13,0)+SETTINGS!$B$31*IF(ISNUMBER($T13),$T13,0)+SETTINGS!$B$32*IF(ISNUMBER($X13),$X13,0))/$Y13))</f>
        <v/>
      </c>
      <c r="AA13">
        <f>IF($A13="","",COUNT($D13,$H13,$L13,$Q13,$U13))</f>
        <v/>
      </c>
      <c r="AB13">
        <f>IF($A13="","",IF($AA13&lt;=1,"SINGLE-SOURCE / LOW CONFIDENCE",""))</f>
        <v/>
      </c>
      <c r="AC13">
        <f>IF($A13="","",IF(AND($C13="FBS-RECLASSIFYING",ISNUMBER($L13),$L13&lt;0),"NO-AUTO-UPGRADE GUARD APPLIED",""))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MAP'!$D14)</f>
        <v/>
      </c>
      <c r="D14" t="n">
        <v>14.8</v>
      </c>
      <c r="E14" s="1" t="n">
        <v>46108</v>
      </c>
      <c r="F14" t="inlineStr">
        <is>
          <t>https://www.espn.com/college-football/story/_/id/48306284/2026-college-football-sp+-rankings-138-fbs-teams</t>
        </is>
      </c>
      <c r="G14">
        <f>IF($D14="","",$D14-AVERAGE($D$6:$D$143))</f>
        <v/>
      </c>
      <c r="H14" t="n">
        <v>12.2</v>
      </c>
      <c r="I14" s="1" t="n">
        <v>46222</v>
      </c>
      <c r="J14" t="inlineStr">
        <is>
          <t>https://www.espn.com/college-football/fpi</t>
        </is>
      </c>
      <c r="K14">
        <f>IF($H14="","",$H14-AVERAGE($H$6:$H$143))</f>
        <v/>
      </c>
      <c r="M14">
        <f>IF($L14="","",IF($C14="FBS-RECLASSIFYING",IF($L14&lt;0,$L14,$L14*(1-SETTINGS!$B$16)),$L14*(1-SETTINGS!$B$15)))</f>
        <v/>
      </c>
      <c r="P14">
        <f>IF($M14="","",$M14-AVERAGE($M$6:$M$143))</f>
        <v/>
      </c>
      <c r="Q14" t="n">
        <v>15.4</v>
      </c>
      <c r="R14" s="1" t="n">
        <v>46222</v>
      </c>
      <c r="S14" t="inlineStr">
        <is>
          <t>https://www.teamrankings.com/college-football/ranking/predictive-by-other</t>
        </is>
      </c>
      <c r="T14">
        <f>IF($Q14="","",$Q14-AVERAGE($Q$6:$Q$143))</f>
        <v/>
      </c>
      <c r="X14">
        <f>IF($U14="","",$U14-AVERAGE($U$6:$U$143))</f>
        <v/>
      </c>
      <c r="Y14">
        <f>IF($A14="","",SETTINGS!$B$28*ISNUMBER($G14)+SETTINGS!$B$29*ISNUMBER($K14)+SETTINGS!$B$30*ISNUMBER($P14)+SETTINGS!$B$31*ISNUMBER($T14)+SETTINGS!$B$32*ISNUMBER($X14))</f>
        <v/>
      </c>
      <c r="Z14">
        <f>IF($A14="","",IF($Y14=0,"",(SETTINGS!$B$28*IF(ISNUMBER($G14),$G14,0)+SETTINGS!$B$29*IF(ISNUMBER($K14),$K14,0)+SETTINGS!$B$30*IF(ISNUMBER($P14),$P14,0)+SETTINGS!$B$31*IF(ISNUMBER($T14),$T14,0)+SETTINGS!$B$32*IF(ISNUMBER($X14),$X14,0))/$Y14))</f>
        <v/>
      </c>
      <c r="AA14">
        <f>IF($A14="","",COUNT($D14,$H14,$L14,$Q14,$U14))</f>
        <v/>
      </c>
      <c r="AB14">
        <f>IF($A14="","",IF($AA14&lt;=1,"SINGLE-SOURCE / LOW CONFIDENCE",""))</f>
        <v/>
      </c>
      <c r="AC14">
        <f>IF($A14="","",IF(AND($C14="FBS-RECLASSIFYING",ISNUMBER($L14),$L14&lt;0),"NO-AUTO-UPGRADE GUARD APPLIED",""))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MAP'!$D15)</f>
        <v/>
      </c>
      <c r="D15" t="n">
        <v>17.2</v>
      </c>
      <c r="E15" s="1" t="n">
        <v>46108</v>
      </c>
      <c r="F15" t="inlineStr">
        <is>
          <t>https://www.espn.com/college-football/story/_/id/48306284/2026-college-football-sp+-rankings-138-fbs-teams</t>
        </is>
      </c>
      <c r="G15">
        <f>IF($D15="","",$D15-AVERAGE($D$6:$D$143))</f>
        <v/>
      </c>
      <c r="H15" t="n">
        <v>17.8</v>
      </c>
      <c r="I15" s="1" t="n">
        <v>46222</v>
      </c>
      <c r="J15" t="inlineStr">
        <is>
          <t>https://www.espn.com/college-football/fpi</t>
        </is>
      </c>
      <c r="K15">
        <f>IF($H15="","",$H15-AVERAGE($H$6:$H$143))</f>
        <v/>
      </c>
      <c r="M15">
        <f>IF($L15="","",IF($C15="FBS-RECLASSIFYING",IF($L15&lt;0,$L15,$L15*(1-SETTINGS!$B$16)),$L15*(1-SETTINGS!$B$15)))</f>
        <v/>
      </c>
      <c r="P15">
        <f>IF($M15="","",$M15-AVERAGE($M$6:$M$143))</f>
        <v/>
      </c>
      <c r="Q15" t="n">
        <v>22</v>
      </c>
      <c r="R15" s="1" t="n">
        <v>46222</v>
      </c>
      <c r="S15" t="inlineStr">
        <is>
          <t>https://www.teamrankings.com/college-football/ranking/predictive-by-other</t>
        </is>
      </c>
      <c r="T15">
        <f>IF($Q15="","",$Q15-AVERAGE($Q$6:$Q$143))</f>
        <v/>
      </c>
      <c r="X15">
        <f>IF($U15="","",$U15-AVERAGE($U$6:$U$143))</f>
        <v/>
      </c>
      <c r="Y15">
        <f>IF($A15="","",SETTINGS!$B$28*ISNUMBER($G15)+SETTINGS!$B$29*ISNUMBER($K15)+SETTINGS!$B$30*ISNUMBER($P15)+SETTINGS!$B$31*ISNUMBER($T15)+SETTINGS!$B$32*ISNUMBER($X15))</f>
        <v/>
      </c>
      <c r="Z15">
        <f>IF($A15="","",IF($Y15=0,"",(SETTINGS!$B$28*IF(ISNUMBER($G15),$G15,0)+SETTINGS!$B$29*IF(ISNUMBER($K15),$K15,0)+SETTINGS!$B$30*IF(ISNUMBER($P15),$P15,0)+SETTINGS!$B$31*IF(ISNUMBER($T15),$T15,0)+SETTINGS!$B$32*IF(ISNUMBER($X15),$X15,0))/$Y15))</f>
        <v/>
      </c>
      <c r="AA15">
        <f>IF($A15="","",COUNT($D15,$H15,$L15,$Q15,$U15))</f>
        <v/>
      </c>
      <c r="AB15">
        <f>IF($A15="","",IF($AA15&lt;=1,"SINGLE-SOURCE / LOW CONFIDENCE",""))</f>
        <v/>
      </c>
      <c r="AC15">
        <f>IF($A15="","",IF(AND($C15="FBS-RECLASSIFYING",ISNUMBER($L15),$L15&lt;0),"NO-AUTO-UPGRADE GUARD APPLIED",""))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MAP'!$D16)</f>
        <v/>
      </c>
      <c r="D16" t="n">
        <v>15.9</v>
      </c>
      <c r="E16" s="1" t="n">
        <v>46108</v>
      </c>
      <c r="F16" t="inlineStr">
        <is>
          <t>https://www.espn.com/college-football/story/_/id/48306284/2026-college-football-sp+-rankings-138-fbs-teams</t>
        </is>
      </c>
      <c r="G16">
        <f>IF($D16="","",$D16-AVERAGE($D$6:$D$143))</f>
        <v/>
      </c>
      <c r="H16" t="n">
        <v>16</v>
      </c>
      <c r="I16" s="1" t="n">
        <v>46222</v>
      </c>
      <c r="J16" t="inlineStr">
        <is>
          <t>https://www.espn.com/college-football/fpi</t>
        </is>
      </c>
      <c r="K16">
        <f>IF($H16="","",$H16-AVERAGE($H$6:$H$143))</f>
        <v/>
      </c>
      <c r="M16">
        <f>IF($L16="","",IF($C16="FBS-RECLASSIFYING",IF($L16&lt;0,$L16,$L16*(1-SETTINGS!$B$16)),$L16*(1-SETTINGS!$B$15)))</f>
        <v/>
      </c>
      <c r="P16">
        <f>IF($M16="","",$M16-AVERAGE($M$6:$M$143))</f>
        <v/>
      </c>
      <c r="Q16" t="n">
        <v>22.3</v>
      </c>
      <c r="R16" s="1" t="n">
        <v>46222</v>
      </c>
      <c r="S16" t="inlineStr">
        <is>
          <t>https://www.teamrankings.com/college-football/ranking/predictive-by-other</t>
        </is>
      </c>
      <c r="T16">
        <f>IF($Q16="","",$Q16-AVERAGE($Q$6:$Q$143))</f>
        <v/>
      </c>
      <c r="X16">
        <f>IF($U16="","",$U16-AVERAGE($U$6:$U$143))</f>
        <v/>
      </c>
      <c r="Y16">
        <f>IF($A16="","",SETTINGS!$B$28*ISNUMBER($G16)+SETTINGS!$B$29*ISNUMBER($K16)+SETTINGS!$B$30*ISNUMBER($P16)+SETTINGS!$B$31*ISNUMBER($T16)+SETTINGS!$B$32*ISNUMBER($X16))</f>
        <v/>
      </c>
      <c r="Z16">
        <f>IF($A16="","",IF($Y16=0,"",(SETTINGS!$B$28*IF(ISNUMBER($G16),$G16,0)+SETTINGS!$B$29*IF(ISNUMBER($K16),$K16,0)+SETTINGS!$B$30*IF(ISNUMBER($P16),$P16,0)+SETTINGS!$B$31*IF(ISNUMBER($T16),$T16,0)+SETTINGS!$B$32*IF(ISNUMBER($X16),$X16,0))/$Y16))</f>
        <v/>
      </c>
      <c r="AA16">
        <f>IF($A16="","",COUNT($D16,$H16,$L16,$Q16,$U16))</f>
        <v/>
      </c>
      <c r="AB16">
        <f>IF($A16="","",IF($AA16&lt;=1,"SINGLE-SOURCE / LOW CONFIDENCE",""))</f>
        <v/>
      </c>
      <c r="AC16">
        <f>IF($A16="","",IF(AND($C16="FBS-RECLASSIFYING",ISNUMBER($L16),$L16&lt;0),"NO-AUTO-UPGRADE GUARD APPLIED",""))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MAP'!$D17)</f>
        <v/>
      </c>
      <c r="D17" t="n">
        <v>12.1</v>
      </c>
      <c r="E17" s="1" t="n">
        <v>46108</v>
      </c>
      <c r="F17" t="inlineStr">
        <is>
          <t>https://www.espn.com/college-football/story/_/id/48306284/2026-college-football-sp+-rankings-138-fbs-teams</t>
        </is>
      </c>
      <c r="G17">
        <f>IF($D17="","",$D17-AVERAGE($D$6:$D$143))</f>
        <v/>
      </c>
      <c r="H17" t="n">
        <v>11.7</v>
      </c>
      <c r="I17" s="1" t="n">
        <v>46222</v>
      </c>
      <c r="J17" t="inlineStr">
        <is>
          <t>https://www.espn.com/college-football/fpi</t>
        </is>
      </c>
      <c r="K17">
        <f>IF($H17="","",$H17-AVERAGE($H$6:$H$143))</f>
        <v/>
      </c>
      <c r="M17">
        <f>IF($L17="","",IF($C17="FBS-RECLASSIFYING",IF($L17&lt;0,$L17,$L17*(1-SETTINGS!$B$16)),$L17*(1-SETTINGS!$B$15)))</f>
        <v/>
      </c>
      <c r="P17">
        <f>IF($M17="","",$M17-AVERAGE($M$6:$M$143))</f>
        <v/>
      </c>
      <c r="Q17" t="n">
        <v>12.2</v>
      </c>
      <c r="R17" s="1" t="n">
        <v>46222</v>
      </c>
      <c r="S17" t="inlineStr">
        <is>
          <t>https://www.teamrankings.com/college-football/ranking/predictive-by-other</t>
        </is>
      </c>
      <c r="T17">
        <f>IF($Q17="","",$Q17-AVERAGE($Q$6:$Q$143))</f>
        <v/>
      </c>
      <c r="X17">
        <f>IF($U17="","",$U17-AVERAGE($U$6:$U$143))</f>
        <v/>
      </c>
      <c r="Y17">
        <f>IF($A17="","",SETTINGS!$B$28*ISNUMBER($G17)+SETTINGS!$B$29*ISNUMBER($K17)+SETTINGS!$B$30*ISNUMBER($P17)+SETTINGS!$B$31*ISNUMBER($T17)+SETTINGS!$B$32*ISNUMBER($X17))</f>
        <v/>
      </c>
      <c r="Z17">
        <f>IF($A17="","",IF($Y17=0,"",(SETTINGS!$B$28*IF(ISNUMBER($G17),$G17,0)+SETTINGS!$B$29*IF(ISNUMBER($K17),$K17,0)+SETTINGS!$B$30*IF(ISNUMBER($P17),$P17,0)+SETTINGS!$B$31*IF(ISNUMBER($T17),$T17,0)+SETTINGS!$B$32*IF(ISNUMBER($X17),$X17,0))/$Y17))</f>
        <v/>
      </c>
      <c r="AA17">
        <f>IF($A17="","",COUNT($D17,$H17,$L17,$Q17,$U17))</f>
        <v/>
      </c>
      <c r="AB17">
        <f>IF($A17="","",IF($AA17&lt;=1,"SINGLE-SOURCE / LOW CONFIDENCE",""))</f>
        <v/>
      </c>
      <c r="AC17">
        <f>IF($A17="","",IF(AND($C17="FBS-RECLASSIFYING",ISNUMBER($L17),$L17&lt;0),"NO-AUTO-UPGRADE GUARD APPLIED",""))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MAP'!$D18)</f>
        <v/>
      </c>
      <c r="D18" t="n">
        <v>16</v>
      </c>
      <c r="E18" s="1" t="n">
        <v>46108</v>
      </c>
      <c r="F18" t="inlineStr">
        <is>
          <t>https://www.espn.com/college-football/story/_/id/48306284/2026-college-football-sp+-rankings-138-fbs-teams</t>
        </is>
      </c>
      <c r="G18">
        <f>IF($D18="","",$D18-AVERAGE($D$6:$D$143))</f>
        <v/>
      </c>
      <c r="H18" t="n">
        <v>15.1</v>
      </c>
      <c r="I18" s="1" t="n">
        <v>46222</v>
      </c>
      <c r="J18" t="inlineStr">
        <is>
          <t>https://www.espn.com/college-football/fpi</t>
        </is>
      </c>
      <c r="K18">
        <f>IF($H18="","",$H18-AVERAGE($H$6:$H$143))</f>
        <v/>
      </c>
      <c r="M18">
        <f>IF($L18="","",IF($C18="FBS-RECLASSIFYING",IF($L18&lt;0,$L18,$L18*(1-SETTINGS!$B$16)),$L18*(1-SETTINGS!$B$15)))</f>
        <v/>
      </c>
      <c r="P18">
        <f>IF($M18="","",$M18-AVERAGE($M$6:$M$143))</f>
        <v/>
      </c>
      <c r="Q18" t="n">
        <v>16.8</v>
      </c>
      <c r="R18" s="1" t="n">
        <v>46222</v>
      </c>
      <c r="S18" t="inlineStr">
        <is>
          <t>https://www.teamrankings.com/college-football/ranking/predictive-by-other</t>
        </is>
      </c>
      <c r="T18">
        <f>IF($Q18="","",$Q18-AVERAGE($Q$6:$Q$143))</f>
        <v/>
      </c>
      <c r="X18">
        <f>IF($U18="","",$U18-AVERAGE($U$6:$U$143))</f>
        <v/>
      </c>
      <c r="Y18">
        <f>IF($A18="","",SETTINGS!$B$28*ISNUMBER($G18)+SETTINGS!$B$29*ISNUMBER($K18)+SETTINGS!$B$30*ISNUMBER($P18)+SETTINGS!$B$31*ISNUMBER($T18)+SETTINGS!$B$32*ISNUMBER($X18))</f>
        <v/>
      </c>
      <c r="Z18">
        <f>IF($A18="","",IF($Y18=0,"",(SETTINGS!$B$28*IF(ISNUMBER($G18),$G18,0)+SETTINGS!$B$29*IF(ISNUMBER($K18),$K18,0)+SETTINGS!$B$30*IF(ISNUMBER($P18),$P18,0)+SETTINGS!$B$31*IF(ISNUMBER($T18),$T18,0)+SETTINGS!$B$32*IF(ISNUMBER($X18),$X18,0))/$Y18))</f>
        <v/>
      </c>
      <c r="AA18">
        <f>IF($A18="","",COUNT($D18,$H18,$L18,$Q18,$U18))</f>
        <v/>
      </c>
      <c r="AB18">
        <f>IF($A18="","",IF($AA18&lt;=1,"SINGLE-SOURCE / LOW CONFIDENCE",""))</f>
        <v/>
      </c>
      <c r="AC18">
        <f>IF($A18="","",IF(AND($C18="FBS-RECLASSIFYING",ISNUMBER($L18),$L18&lt;0),"NO-AUTO-UPGRADE GUARD APPLIED",""))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MAP'!$D19)</f>
        <v/>
      </c>
      <c r="D19" t="n">
        <v>23.7</v>
      </c>
      <c r="E19" s="1" t="n">
        <v>46108</v>
      </c>
      <c r="F19" t="inlineStr">
        <is>
          <t>https://www.espn.com/college-football/story/_/id/48306284/2026-college-football-sp+-rankings-138-fbs-teams</t>
        </is>
      </c>
      <c r="G19">
        <f>IF($D19="","",$D19-AVERAGE($D$6:$D$143))</f>
        <v/>
      </c>
      <c r="H19" t="n">
        <v>26.9</v>
      </c>
      <c r="I19" s="1" t="n">
        <v>46222</v>
      </c>
      <c r="J19" t="inlineStr">
        <is>
          <t>https://www.espn.com/college-football/fpi</t>
        </is>
      </c>
      <c r="K19">
        <f>IF($H19="","",$H19-AVERAGE($H$6:$H$143))</f>
        <v/>
      </c>
      <c r="M19">
        <f>IF($L19="","",IF($C19="FBS-RECLASSIFYING",IF($L19&lt;0,$L19,$L19*(1-SETTINGS!$B$16)),$L19*(1-SETTINGS!$B$15)))</f>
        <v/>
      </c>
      <c r="P19">
        <f>IF($M19="","",$M19-AVERAGE($M$6:$M$143))</f>
        <v/>
      </c>
      <c r="Q19" t="n">
        <v>28.4</v>
      </c>
      <c r="R19" s="1" t="n">
        <v>46222</v>
      </c>
      <c r="S19" t="inlineStr">
        <is>
          <t>https://www.teamrankings.com/college-football/ranking/predictive-by-other</t>
        </is>
      </c>
      <c r="T19">
        <f>IF($Q19="","",$Q19-AVERAGE($Q$6:$Q$143))</f>
        <v/>
      </c>
      <c r="X19">
        <f>IF($U19="","",$U19-AVERAGE($U$6:$U$143))</f>
        <v/>
      </c>
      <c r="Y19">
        <f>IF($A19="","",SETTINGS!$B$28*ISNUMBER($G19)+SETTINGS!$B$29*ISNUMBER($K19)+SETTINGS!$B$30*ISNUMBER($P19)+SETTINGS!$B$31*ISNUMBER($T19)+SETTINGS!$B$32*ISNUMBER($X19))</f>
        <v/>
      </c>
      <c r="Z19">
        <f>IF($A19="","",IF($Y19=0,"",(SETTINGS!$B$28*IF(ISNUMBER($G19),$G19,0)+SETTINGS!$B$29*IF(ISNUMBER($K19),$K19,0)+SETTINGS!$B$30*IF(ISNUMBER($P19),$P19,0)+SETTINGS!$B$31*IF(ISNUMBER($T19),$T19,0)+SETTINGS!$B$32*IF(ISNUMBER($X19),$X19,0))/$Y19))</f>
        <v/>
      </c>
      <c r="AA19">
        <f>IF($A19="","",COUNT($D19,$H19,$L19,$Q19,$U19))</f>
        <v/>
      </c>
      <c r="AB19">
        <f>IF($A19="","",IF($AA19&lt;=1,"SINGLE-SOURCE / LOW CONFIDENCE",""))</f>
        <v/>
      </c>
      <c r="AC19">
        <f>IF($A19="","",IF(AND($C19="FBS-RECLASSIFYING",ISNUMBER($L19),$L19&lt;0),"NO-AUTO-UPGRADE GUARD APPLIED",""))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MAP'!$D20)</f>
        <v/>
      </c>
      <c r="D20" t="n">
        <v>20.3</v>
      </c>
      <c r="E20" s="1" t="n">
        <v>46108</v>
      </c>
      <c r="F20" t="inlineStr">
        <is>
          <t>https://www.espn.com/college-football/story/_/id/48306284/2026-college-football-sp+-rankings-138-fbs-teams</t>
        </is>
      </c>
      <c r="G20">
        <f>IF($D20="","",$D20-AVERAGE($D$6:$D$143))</f>
        <v/>
      </c>
      <c r="H20" t="n">
        <v>20</v>
      </c>
      <c r="I20" s="1" t="n">
        <v>46222</v>
      </c>
      <c r="J20" t="inlineStr">
        <is>
          <t>https://www.espn.com/college-football/fpi</t>
        </is>
      </c>
      <c r="K20">
        <f>IF($H20="","",$H20-AVERAGE($H$6:$H$143))</f>
        <v/>
      </c>
      <c r="M20">
        <f>IF($L20="","",IF($C20="FBS-RECLASSIFYING",IF($L20&lt;0,$L20,$L20*(1-SETTINGS!$B$16)),$L20*(1-SETTINGS!$B$15)))</f>
        <v/>
      </c>
      <c r="P20">
        <f>IF($M20="","",$M20-AVERAGE($M$6:$M$143))</f>
        <v/>
      </c>
      <c r="Q20" t="n">
        <v>22.7</v>
      </c>
      <c r="R20" s="1" t="n">
        <v>46222</v>
      </c>
      <c r="S20" t="inlineStr">
        <is>
          <t>https://www.teamrankings.com/college-football/ranking/predictive-by-other</t>
        </is>
      </c>
      <c r="T20">
        <f>IF($Q20="","",$Q20-AVERAGE($Q$6:$Q$143))</f>
        <v/>
      </c>
      <c r="X20">
        <f>IF($U20="","",$U20-AVERAGE($U$6:$U$143))</f>
        <v/>
      </c>
      <c r="Y20">
        <f>IF($A20="","",SETTINGS!$B$28*ISNUMBER($G20)+SETTINGS!$B$29*ISNUMBER($K20)+SETTINGS!$B$30*ISNUMBER($P20)+SETTINGS!$B$31*ISNUMBER($T20)+SETTINGS!$B$32*ISNUMBER($X20))</f>
        <v/>
      </c>
      <c r="Z20">
        <f>IF($A20="","",IF($Y20=0,"",(SETTINGS!$B$28*IF(ISNUMBER($G20),$G20,0)+SETTINGS!$B$29*IF(ISNUMBER($K20),$K20,0)+SETTINGS!$B$30*IF(ISNUMBER($P20),$P20,0)+SETTINGS!$B$31*IF(ISNUMBER($T20),$T20,0)+SETTINGS!$B$32*IF(ISNUMBER($X20),$X20,0))/$Y20))</f>
        <v/>
      </c>
      <c r="AA20">
        <f>IF($A20="","",COUNT($D20,$H20,$L20,$Q20,$U20))</f>
        <v/>
      </c>
      <c r="AB20">
        <f>IF($A20="","",IF($AA20&lt;=1,"SINGLE-SOURCE / LOW CONFIDENCE",""))</f>
        <v/>
      </c>
      <c r="AC20">
        <f>IF($A20="","",IF(AND($C20="FBS-RECLASSIFYING",ISNUMBER($L20),$L20&lt;0),"NO-AUTO-UPGRADE GUARD APPLIED",""))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MAP'!$D21)</f>
        <v/>
      </c>
      <c r="D21" t="n">
        <v>10</v>
      </c>
      <c r="E21" s="1" t="n">
        <v>46108</v>
      </c>
      <c r="F21" t="inlineStr">
        <is>
          <t>https://www.espn.com/college-football/story/_/id/48306284/2026-college-football-sp+-rankings-138-fbs-teams</t>
        </is>
      </c>
      <c r="G21">
        <f>IF($D21="","",$D21-AVERAGE($D$6:$D$143))</f>
        <v/>
      </c>
      <c r="H21" t="n">
        <v>9</v>
      </c>
      <c r="I21" s="1" t="n">
        <v>46222</v>
      </c>
      <c r="J21" t="inlineStr">
        <is>
          <t>https://www.espn.com/college-football/fpi</t>
        </is>
      </c>
      <c r="K21">
        <f>IF($H21="","",$H21-AVERAGE($H$6:$H$143))</f>
        <v/>
      </c>
      <c r="M21">
        <f>IF($L21="","",IF($C21="FBS-RECLASSIFYING",IF($L21&lt;0,$L21,$L21*(1-SETTINGS!$B$16)),$L21*(1-SETTINGS!$B$15)))</f>
        <v/>
      </c>
      <c r="P21">
        <f>IF($M21="","",$M21-AVERAGE($M$6:$M$143))</f>
        <v/>
      </c>
      <c r="Q21" t="n">
        <v>9.800000000000001</v>
      </c>
      <c r="R21" s="1" t="n">
        <v>46222</v>
      </c>
      <c r="S21" t="inlineStr">
        <is>
          <t>https://www.teamrankings.com/college-football/ranking/predictive-by-other</t>
        </is>
      </c>
      <c r="T21">
        <f>IF($Q21="","",$Q21-AVERAGE($Q$6:$Q$143))</f>
        <v/>
      </c>
      <c r="X21">
        <f>IF($U21="","",$U21-AVERAGE($U$6:$U$143))</f>
        <v/>
      </c>
      <c r="Y21">
        <f>IF($A21="","",SETTINGS!$B$28*ISNUMBER($G21)+SETTINGS!$B$29*ISNUMBER($K21)+SETTINGS!$B$30*ISNUMBER($P21)+SETTINGS!$B$31*ISNUMBER($T21)+SETTINGS!$B$32*ISNUMBER($X21))</f>
        <v/>
      </c>
      <c r="Z21">
        <f>IF($A21="","",IF($Y21=0,"",(SETTINGS!$B$28*IF(ISNUMBER($G21),$G21,0)+SETTINGS!$B$29*IF(ISNUMBER($K21),$K21,0)+SETTINGS!$B$30*IF(ISNUMBER($P21),$P21,0)+SETTINGS!$B$31*IF(ISNUMBER($T21),$T21,0)+SETTINGS!$B$32*IF(ISNUMBER($X21),$X21,0))/$Y21))</f>
        <v/>
      </c>
      <c r="AA21">
        <f>IF($A21="","",COUNT($D21,$H21,$L21,$Q21,$U21))</f>
        <v/>
      </c>
      <c r="AB21">
        <f>IF($A21="","",IF($AA21&lt;=1,"SINGLE-SOURCE / LOW CONFIDENCE",""))</f>
        <v/>
      </c>
      <c r="AC21">
        <f>IF($A21="","",IF(AND($C21="FBS-RECLASSIFYING",ISNUMBER($L21),$L21&lt;0),"NO-AUTO-UPGRADE GUARD APPLIED",""))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MAP'!$D22)</f>
        <v/>
      </c>
      <c r="D22" t="n">
        <v>9.300000000000001</v>
      </c>
      <c r="E22" s="1" t="n">
        <v>46108</v>
      </c>
      <c r="F22" t="inlineStr">
        <is>
          <t>https://www.espn.com/college-football/story/_/id/48306284/2026-college-football-sp+-rankings-138-fbs-teams</t>
        </is>
      </c>
      <c r="G22">
        <f>IF($D22="","",$D22-AVERAGE($D$6:$D$143))</f>
        <v/>
      </c>
      <c r="H22" t="n">
        <v>6.3</v>
      </c>
      <c r="I22" s="1" t="n">
        <v>46222</v>
      </c>
      <c r="J22" t="inlineStr">
        <is>
          <t>https://www.espn.com/college-football/fpi</t>
        </is>
      </c>
      <c r="K22">
        <f>IF($H22="","",$H22-AVERAGE($H$6:$H$143))</f>
        <v/>
      </c>
      <c r="M22">
        <f>IF($L22="","",IF($C22="FBS-RECLASSIFYING",IF($L22&lt;0,$L22,$L22*(1-SETTINGS!$B$16)),$L22*(1-SETTINGS!$B$15)))</f>
        <v/>
      </c>
      <c r="P22">
        <f>IF($M22="","",$M22-AVERAGE($M$6:$M$143))</f>
        <v/>
      </c>
      <c r="Q22" t="n">
        <v>9.199999999999999</v>
      </c>
      <c r="R22" s="1" t="n">
        <v>46222</v>
      </c>
      <c r="S22" t="inlineStr">
        <is>
          <t>https://www.teamrankings.com/college-football/ranking/predictive-by-other</t>
        </is>
      </c>
      <c r="T22">
        <f>IF($Q22="","",$Q22-AVERAGE($Q$6:$Q$143))</f>
        <v/>
      </c>
      <c r="X22">
        <f>IF($U22="","",$U22-AVERAGE($U$6:$U$143))</f>
        <v/>
      </c>
      <c r="Y22">
        <f>IF($A22="","",SETTINGS!$B$28*ISNUMBER($G22)+SETTINGS!$B$29*ISNUMBER($K22)+SETTINGS!$B$30*ISNUMBER($P22)+SETTINGS!$B$31*ISNUMBER($T22)+SETTINGS!$B$32*ISNUMBER($X22))</f>
        <v/>
      </c>
      <c r="Z22">
        <f>IF($A22="","",IF($Y22=0,"",(SETTINGS!$B$28*IF(ISNUMBER($G22),$G22,0)+SETTINGS!$B$29*IF(ISNUMBER($K22),$K22,0)+SETTINGS!$B$30*IF(ISNUMBER($P22),$P22,0)+SETTINGS!$B$31*IF(ISNUMBER($T22),$T22,0)+SETTINGS!$B$32*IF(ISNUMBER($X22),$X22,0))/$Y22))</f>
        <v/>
      </c>
      <c r="AA22">
        <f>IF($A22="","",COUNT($D22,$H22,$L22,$Q22,$U22))</f>
        <v/>
      </c>
      <c r="AB22">
        <f>IF($A22="","",IF($AA22&lt;=1,"SINGLE-SOURCE / LOW CONFIDENCE",""))</f>
        <v/>
      </c>
      <c r="AC22">
        <f>IF($A22="","",IF(AND($C22="FBS-RECLASSIFYING",ISNUMBER($L22),$L22&lt;0),"NO-AUTO-UPGRADE GUARD APPLIED",""))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MAP'!$D23)</f>
        <v/>
      </c>
      <c r="D23" t="n">
        <v>24.5</v>
      </c>
      <c r="E23" s="1" t="n">
        <v>46108</v>
      </c>
      <c r="F23" t="inlineStr">
        <is>
          <t>https://www.espn.com/college-football/story/_/id/48306284/2026-college-football-sp+-rankings-138-fbs-teams</t>
        </is>
      </c>
      <c r="G23">
        <f>IF($D23="","",$D23-AVERAGE($D$6:$D$143))</f>
        <v/>
      </c>
      <c r="H23" t="n">
        <v>23.1</v>
      </c>
      <c r="I23" s="1" t="n">
        <v>46222</v>
      </c>
      <c r="J23" t="inlineStr">
        <is>
          <t>https://www.espn.com/college-football/fpi</t>
        </is>
      </c>
      <c r="K23">
        <f>IF($H23="","",$H23-AVERAGE($H$6:$H$143))</f>
        <v/>
      </c>
      <c r="M23">
        <f>IF($L23="","",IF($C23="FBS-RECLASSIFYING",IF($L23&lt;0,$L23,$L23*(1-SETTINGS!$B$16)),$L23*(1-SETTINGS!$B$15)))</f>
        <v/>
      </c>
      <c r="P23">
        <f>IF($M23="","",$M23-AVERAGE($M$6:$M$143))</f>
        <v/>
      </c>
      <c r="Q23" t="n">
        <v>29</v>
      </c>
      <c r="R23" s="1" t="n">
        <v>46222</v>
      </c>
      <c r="S23" t="inlineStr">
        <is>
          <t>https://www.teamrankings.com/college-football/ranking/predictive-by-other</t>
        </is>
      </c>
      <c r="T23">
        <f>IF($Q23="","",$Q23-AVERAGE($Q$6:$Q$143))</f>
        <v/>
      </c>
      <c r="X23">
        <f>IF($U23="","",$U23-AVERAGE($U$6:$U$143))</f>
        <v/>
      </c>
      <c r="Y23">
        <f>IF($A23="","",SETTINGS!$B$28*ISNUMBER($G23)+SETTINGS!$B$29*ISNUMBER($K23)+SETTINGS!$B$30*ISNUMBER($P23)+SETTINGS!$B$31*ISNUMBER($T23)+SETTINGS!$B$32*ISNUMBER($X23))</f>
        <v/>
      </c>
      <c r="Z23">
        <f>IF($A23="","",IF($Y23=0,"",(SETTINGS!$B$28*IF(ISNUMBER($G23),$G23,0)+SETTINGS!$B$29*IF(ISNUMBER($K23),$K23,0)+SETTINGS!$B$30*IF(ISNUMBER($P23),$P23,0)+SETTINGS!$B$31*IF(ISNUMBER($T23),$T23,0)+SETTINGS!$B$32*IF(ISNUMBER($X23),$X23,0))/$Y23))</f>
        <v/>
      </c>
      <c r="AA23">
        <f>IF($A23="","",COUNT($D23,$H23,$L23,$Q23,$U23))</f>
        <v/>
      </c>
      <c r="AB23">
        <f>IF($A23="","",IF($AA23&lt;=1,"SINGLE-SOURCE / LOW CONFIDENCE",""))</f>
        <v/>
      </c>
      <c r="AC23">
        <f>IF($A23="","",IF(AND($C23="FBS-RECLASSIFYING",ISNUMBER($L23),$L23&lt;0),"NO-AUTO-UPGRADE GUARD APPLIED",""))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MAP'!$D24)</f>
        <v/>
      </c>
      <c r="D24" t="n">
        <v>13.6</v>
      </c>
      <c r="E24" s="1" t="n">
        <v>46108</v>
      </c>
      <c r="F24" t="inlineStr">
        <is>
          <t>https://www.espn.com/college-football/story/_/id/48306284/2026-college-football-sp+-rankings-138-fbs-teams</t>
        </is>
      </c>
      <c r="G24">
        <f>IF($D24="","",$D24-AVERAGE($D$6:$D$143))</f>
        <v/>
      </c>
      <c r="H24" t="n">
        <v>10.6</v>
      </c>
      <c r="I24" s="1" t="n">
        <v>46222</v>
      </c>
      <c r="J24" t="inlineStr">
        <is>
          <t>https://www.espn.com/college-football/fpi</t>
        </is>
      </c>
      <c r="K24">
        <f>IF($H24="","",$H24-AVERAGE($H$6:$H$143))</f>
        <v/>
      </c>
      <c r="M24">
        <f>IF($L24="","",IF($C24="FBS-RECLASSIFYING",IF($L24&lt;0,$L24,$L24*(1-SETTINGS!$B$16)),$L24*(1-SETTINGS!$B$15)))</f>
        <v/>
      </c>
      <c r="P24">
        <f>IF($M24="","",$M24-AVERAGE($M$6:$M$143))</f>
        <v/>
      </c>
      <c r="Q24" t="n">
        <v>13.9</v>
      </c>
      <c r="R24" s="1" t="n">
        <v>46222</v>
      </c>
      <c r="S24" t="inlineStr">
        <is>
          <t>https://www.teamrankings.com/college-football/ranking/predictive-by-other</t>
        </is>
      </c>
      <c r="T24">
        <f>IF($Q24="","",$Q24-AVERAGE($Q$6:$Q$143))</f>
        <v/>
      </c>
      <c r="X24">
        <f>IF($U24="","",$U24-AVERAGE($U$6:$U$143))</f>
        <v/>
      </c>
      <c r="Y24">
        <f>IF($A24="","",SETTINGS!$B$28*ISNUMBER($G24)+SETTINGS!$B$29*ISNUMBER($K24)+SETTINGS!$B$30*ISNUMBER($P24)+SETTINGS!$B$31*ISNUMBER($T24)+SETTINGS!$B$32*ISNUMBER($X24))</f>
        <v/>
      </c>
      <c r="Z24">
        <f>IF($A24="","",IF($Y24=0,"",(SETTINGS!$B$28*IF(ISNUMBER($G24),$G24,0)+SETTINGS!$B$29*IF(ISNUMBER($K24),$K24,0)+SETTINGS!$B$30*IF(ISNUMBER($P24),$P24,0)+SETTINGS!$B$31*IF(ISNUMBER($T24),$T24,0)+SETTINGS!$B$32*IF(ISNUMBER($X24),$X24,0))/$Y24))</f>
        <v/>
      </c>
      <c r="AA24">
        <f>IF($A24="","",COUNT($D24,$H24,$L24,$Q24,$U24))</f>
        <v/>
      </c>
      <c r="AB24">
        <f>IF($A24="","",IF($AA24&lt;=1,"SINGLE-SOURCE / LOW CONFIDENCE",""))</f>
        <v/>
      </c>
      <c r="AC24">
        <f>IF($A24="","",IF(AND($C24="FBS-RECLASSIFYING",ISNUMBER($L24),$L24&lt;0),"NO-AUTO-UPGRADE GUARD APPLIED",""))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MAP'!$D25)</f>
        <v/>
      </c>
      <c r="D25" t="n">
        <v>3.8</v>
      </c>
      <c r="E25" s="1" t="n">
        <v>46108</v>
      </c>
      <c r="F25" t="inlineStr">
        <is>
          <t>https://www.espn.com/college-football/story/_/id/48306284/2026-college-football-sp+-rankings-138-fbs-teams</t>
        </is>
      </c>
      <c r="G25">
        <f>IF($D25="","",$D25-AVERAGE($D$6:$D$143))</f>
        <v/>
      </c>
      <c r="H25" t="n">
        <v>1</v>
      </c>
      <c r="I25" s="1" t="n">
        <v>46222</v>
      </c>
      <c r="J25" t="inlineStr">
        <is>
          <t>https://www.espn.com/college-football/fpi</t>
        </is>
      </c>
      <c r="K25">
        <f>IF($H25="","",$H25-AVERAGE($H$6:$H$143))</f>
        <v/>
      </c>
      <c r="M25">
        <f>IF($L25="","",IF($C25="FBS-RECLASSIFYING",IF($L25&lt;0,$L25,$L25*(1-SETTINGS!$B$16)),$L25*(1-SETTINGS!$B$15)))</f>
        <v/>
      </c>
      <c r="P25">
        <f>IF($M25="","",$M25-AVERAGE($M$6:$M$143))</f>
        <v/>
      </c>
      <c r="Q25" t="n">
        <v>2.9</v>
      </c>
      <c r="R25" s="1" t="n">
        <v>46222</v>
      </c>
      <c r="S25" t="inlineStr">
        <is>
          <t>https://www.teamrankings.com/college-football/ranking/predictive-by-other</t>
        </is>
      </c>
      <c r="T25">
        <f>IF($Q25="","",$Q25-AVERAGE($Q$6:$Q$143))</f>
        <v/>
      </c>
      <c r="X25">
        <f>IF($U25="","",$U25-AVERAGE($U$6:$U$143))</f>
        <v/>
      </c>
      <c r="Y25">
        <f>IF($A25="","",SETTINGS!$B$28*ISNUMBER($G25)+SETTINGS!$B$29*ISNUMBER($K25)+SETTINGS!$B$30*ISNUMBER($P25)+SETTINGS!$B$31*ISNUMBER($T25)+SETTINGS!$B$32*ISNUMBER($X25))</f>
        <v/>
      </c>
      <c r="Z25">
        <f>IF($A25="","",IF($Y25=0,"",(SETTINGS!$B$28*IF(ISNUMBER($G25),$G25,0)+SETTINGS!$B$29*IF(ISNUMBER($K25),$K25,0)+SETTINGS!$B$30*IF(ISNUMBER($P25),$P25,0)+SETTINGS!$B$31*IF(ISNUMBER($T25),$T25,0)+SETTINGS!$B$32*IF(ISNUMBER($X25),$X25,0))/$Y25))</f>
        <v/>
      </c>
      <c r="AA25">
        <f>IF($A25="","",COUNT($D25,$H25,$L25,$Q25,$U25))</f>
        <v/>
      </c>
      <c r="AB25">
        <f>IF($A25="","",IF($AA25&lt;=1,"SINGLE-SOURCE / LOW CONFIDENCE",""))</f>
        <v/>
      </c>
      <c r="AC25">
        <f>IF($A25="","",IF(AND($C25="FBS-RECLASSIFYING",ISNUMBER($L25),$L25&lt;0),"NO-AUTO-UPGRADE GUARD APPLIED",""))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MAP'!$D26)</f>
        <v/>
      </c>
      <c r="D26" t="n">
        <v>16.1</v>
      </c>
      <c r="E26" s="1" t="n">
        <v>46108</v>
      </c>
      <c r="F26" t="inlineStr">
        <is>
          <t>https://www.espn.com/college-football/story/_/id/48306284/2026-college-football-sp+-rankings-138-fbs-teams</t>
        </is>
      </c>
      <c r="G26">
        <f>IF($D26="","",$D26-AVERAGE($D$6:$D$143))</f>
        <v/>
      </c>
      <c r="H26" t="n">
        <v>15.9</v>
      </c>
      <c r="I26" s="1" t="n">
        <v>46222</v>
      </c>
      <c r="J26" t="inlineStr">
        <is>
          <t>https://www.espn.com/college-football/fpi</t>
        </is>
      </c>
      <c r="K26">
        <f>IF($H26="","",$H26-AVERAGE($H$6:$H$143))</f>
        <v/>
      </c>
      <c r="M26">
        <f>IF($L26="","",IF($C26="FBS-RECLASSIFYING",IF($L26&lt;0,$L26,$L26*(1-SETTINGS!$B$16)),$L26*(1-SETTINGS!$B$15)))</f>
        <v/>
      </c>
      <c r="P26">
        <f>IF($M26="","",$M26-AVERAGE($M$6:$M$143))</f>
        <v/>
      </c>
      <c r="Q26" t="n">
        <v>19.8</v>
      </c>
      <c r="R26" s="1" t="n">
        <v>46222</v>
      </c>
      <c r="S26" t="inlineStr">
        <is>
          <t>https://www.teamrankings.com/college-football/ranking/predictive-by-other</t>
        </is>
      </c>
      <c r="T26">
        <f>IF($Q26="","",$Q26-AVERAGE($Q$6:$Q$143))</f>
        <v/>
      </c>
      <c r="X26">
        <f>IF($U26="","",$U26-AVERAGE($U$6:$U$143))</f>
        <v/>
      </c>
      <c r="Y26">
        <f>IF($A26="","",SETTINGS!$B$28*ISNUMBER($G26)+SETTINGS!$B$29*ISNUMBER($K26)+SETTINGS!$B$30*ISNUMBER($P26)+SETTINGS!$B$31*ISNUMBER($T26)+SETTINGS!$B$32*ISNUMBER($X26))</f>
        <v/>
      </c>
      <c r="Z26">
        <f>IF($A26="","",IF($Y26=0,"",(SETTINGS!$B$28*IF(ISNUMBER($G26),$G26,0)+SETTINGS!$B$29*IF(ISNUMBER($K26),$K26,0)+SETTINGS!$B$30*IF(ISNUMBER($P26),$P26,0)+SETTINGS!$B$31*IF(ISNUMBER($T26),$T26,0)+SETTINGS!$B$32*IF(ISNUMBER($X26),$X26,0))/$Y26))</f>
        <v/>
      </c>
      <c r="AA26">
        <f>IF($A26="","",COUNT($D26,$H26,$L26,$Q26,$U26))</f>
        <v/>
      </c>
      <c r="AB26">
        <f>IF($A26="","",IF($AA26&lt;=1,"SINGLE-SOURCE / LOW CONFIDENCE",""))</f>
        <v/>
      </c>
      <c r="AC26">
        <f>IF($A26="","",IF(AND($C26="FBS-RECLASSIFYING",ISNUMBER($L26),$L26&lt;0),"NO-AUTO-UPGRADE GUARD APPLIED",""))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MAP'!$D27)</f>
        <v/>
      </c>
      <c r="D27" t="n">
        <v>0.4</v>
      </c>
      <c r="E27" s="1" t="n">
        <v>46108</v>
      </c>
      <c r="F27" t="inlineStr">
        <is>
          <t>https://www.espn.com/college-football/story/_/id/48306284/2026-college-football-sp+-rankings-138-fbs-teams</t>
        </is>
      </c>
      <c r="G27">
        <f>IF($D27="","",$D27-AVERAGE($D$6:$D$143))</f>
        <v/>
      </c>
      <c r="H27" t="n">
        <v>0.3</v>
      </c>
      <c r="I27" s="1" t="n">
        <v>46222</v>
      </c>
      <c r="J27" t="inlineStr">
        <is>
          <t>https://www.espn.com/college-football/fpi</t>
        </is>
      </c>
      <c r="K27">
        <f>IF($H27="","",$H27-AVERAGE($H$6:$H$143))</f>
        <v/>
      </c>
      <c r="M27">
        <f>IF($L27="","",IF($C27="FBS-RECLASSIFYING",IF($L27&lt;0,$L27,$L27*(1-SETTINGS!$B$16)),$L27*(1-SETTINGS!$B$15)))</f>
        <v/>
      </c>
      <c r="P27">
        <f>IF($M27="","",$M27-AVERAGE($M$6:$M$143))</f>
        <v/>
      </c>
      <c r="Q27" t="n">
        <v>-0.3</v>
      </c>
      <c r="R27" s="1" t="n">
        <v>46222</v>
      </c>
      <c r="S27" t="inlineStr">
        <is>
          <t>https://www.teamrankings.com/college-football/ranking/predictive-by-other</t>
        </is>
      </c>
      <c r="T27">
        <f>IF($Q27="","",$Q27-AVERAGE($Q$6:$Q$143))</f>
        <v/>
      </c>
      <c r="X27">
        <f>IF($U27="","",$U27-AVERAGE($U$6:$U$143))</f>
        <v/>
      </c>
      <c r="Y27">
        <f>IF($A27="","",SETTINGS!$B$28*ISNUMBER($G27)+SETTINGS!$B$29*ISNUMBER($K27)+SETTINGS!$B$30*ISNUMBER($P27)+SETTINGS!$B$31*ISNUMBER($T27)+SETTINGS!$B$32*ISNUMBER($X27))</f>
        <v/>
      </c>
      <c r="Z27">
        <f>IF($A27="","",IF($Y27=0,"",(SETTINGS!$B$28*IF(ISNUMBER($G27),$G27,0)+SETTINGS!$B$29*IF(ISNUMBER($K27),$K27,0)+SETTINGS!$B$30*IF(ISNUMBER($P27),$P27,0)+SETTINGS!$B$31*IF(ISNUMBER($T27),$T27,0)+SETTINGS!$B$32*IF(ISNUMBER($X27),$X27,0))/$Y27))</f>
        <v/>
      </c>
      <c r="AA27">
        <f>IF($A27="","",COUNT($D27,$H27,$L27,$Q27,$U27))</f>
        <v/>
      </c>
      <c r="AB27">
        <f>IF($A27="","",IF($AA27&lt;=1,"SINGLE-SOURCE / LOW CONFIDENCE",""))</f>
        <v/>
      </c>
      <c r="AC27">
        <f>IF($A27="","",IF(AND($C27="FBS-RECLASSIFYING",ISNUMBER($L27),$L27&lt;0),"NO-AUTO-UPGRADE GUARD APPLIED",""))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MAP'!$D28)</f>
        <v/>
      </c>
      <c r="D28" t="n">
        <v>5.2</v>
      </c>
      <c r="E28" s="1" t="n">
        <v>46108</v>
      </c>
      <c r="F28" t="inlineStr">
        <is>
          <t>https://www.espn.com/college-football/story/_/id/48306284/2026-college-football-sp+-rankings-138-fbs-teams</t>
        </is>
      </c>
      <c r="G28">
        <f>IF($D28="","",$D28-AVERAGE($D$6:$D$143))</f>
        <v/>
      </c>
      <c r="H28" t="n">
        <v>0.6</v>
      </c>
      <c r="I28" s="1" t="n">
        <v>46222</v>
      </c>
      <c r="J28" t="inlineStr">
        <is>
          <t>https://www.espn.com/college-football/fpi</t>
        </is>
      </c>
      <c r="K28">
        <f>IF($H28="","",$H28-AVERAGE($H$6:$H$143))</f>
        <v/>
      </c>
      <c r="M28">
        <f>IF($L28="","",IF($C28="FBS-RECLASSIFYING",IF($L28&lt;0,$L28,$L28*(1-SETTINGS!$B$16)),$L28*(1-SETTINGS!$B$15)))</f>
        <v/>
      </c>
      <c r="P28">
        <f>IF($M28="","",$M28-AVERAGE($M$6:$M$143))</f>
        <v/>
      </c>
      <c r="Q28" t="n">
        <v>8.1</v>
      </c>
      <c r="R28" s="1" t="n">
        <v>46222</v>
      </c>
      <c r="S28" t="inlineStr">
        <is>
          <t>https://www.teamrankings.com/college-football/ranking/predictive-by-other</t>
        </is>
      </c>
      <c r="T28">
        <f>IF($Q28="","",$Q28-AVERAGE($Q$6:$Q$143))</f>
        <v/>
      </c>
      <c r="X28">
        <f>IF($U28="","",$U28-AVERAGE($U$6:$U$143))</f>
        <v/>
      </c>
      <c r="Y28">
        <f>IF($A28="","",SETTINGS!$B$28*ISNUMBER($G28)+SETTINGS!$B$29*ISNUMBER($K28)+SETTINGS!$B$30*ISNUMBER($P28)+SETTINGS!$B$31*ISNUMBER($T28)+SETTINGS!$B$32*ISNUMBER($X28))</f>
        <v/>
      </c>
      <c r="Z28">
        <f>IF($A28="","",IF($Y28=0,"",(SETTINGS!$B$28*IF(ISNUMBER($G28),$G28,0)+SETTINGS!$B$29*IF(ISNUMBER($K28),$K28,0)+SETTINGS!$B$30*IF(ISNUMBER($P28),$P28,0)+SETTINGS!$B$31*IF(ISNUMBER($T28),$T28,0)+SETTINGS!$B$32*IF(ISNUMBER($X28),$X28,0))/$Y28))</f>
        <v/>
      </c>
      <c r="AA28">
        <f>IF($A28="","",COUNT($D28,$H28,$L28,$Q28,$U28))</f>
        <v/>
      </c>
      <c r="AB28">
        <f>IF($A28="","",IF($AA28&lt;=1,"SINGLE-SOURCE / LOW CONFIDENCE",""))</f>
        <v/>
      </c>
      <c r="AC28">
        <f>IF($A28="","",IF(AND($C28="FBS-RECLASSIFYING",ISNUMBER($L28),$L28&lt;0),"NO-AUTO-UPGRADE GUARD APPLIED",""))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MAP'!$D29)</f>
        <v/>
      </c>
      <c r="D29" t="n">
        <v>7.7</v>
      </c>
      <c r="E29" s="1" t="n">
        <v>46108</v>
      </c>
      <c r="F29" t="inlineStr">
        <is>
          <t>https://www.espn.com/college-football/story/_/id/48306284/2026-college-football-sp+-rankings-138-fbs-teams</t>
        </is>
      </c>
      <c r="G29">
        <f>IF($D29="","",$D29-AVERAGE($D$6:$D$143))</f>
        <v/>
      </c>
      <c r="H29" t="n">
        <v>8.800000000000001</v>
      </c>
      <c r="I29" s="1" t="n">
        <v>46222</v>
      </c>
      <c r="J29" t="inlineStr">
        <is>
          <t>https://www.espn.com/college-football/fpi</t>
        </is>
      </c>
      <c r="K29">
        <f>IF($H29="","",$H29-AVERAGE($H$6:$H$143))</f>
        <v/>
      </c>
      <c r="M29">
        <f>IF($L29="","",IF($C29="FBS-RECLASSIFYING",IF($L29&lt;0,$L29,$L29*(1-SETTINGS!$B$16)),$L29*(1-SETTINGS!$B$15)))</f>
        <v/>
      </c>
      <c r="P29">
        <f>IF($M29="","",$M29-AVERAGE($M$6:$M$143))</f>
        <v/>
      </c>
      <c r="Q29" t="n">
        <v>8</v>
      </c>
      <c r="R29" s="1" t="n">
        <v>46222</v>
      </c>
      <c r="S29" t="inlineStr">
        <is>
          <t>https://www.teamrankings.com/college-football/ranking/predictive-by-other</t>
        </is>
      </c>
      <c r="T29">
        <f>IF($Q29="","",$Q29-AVERAGE($Q$6:$Q$143))</f>
        <v/>
      </c>
      <c r="X29">
        <f>IF($U29="","",$U29-AVERAGE($U$6:$U$143))</f>
        <v/>
      </c>
      <c r="Y29">
        <f>IF($A29="","",SETTINGS!$B$28*ISNUMBER($G29)+SETTINGS!$B$29*ISNUMBER($K29)+SETTINGS!$B$30*ISNUMBER($P29)+SETTINGS!$B$31*ISNUMBER($T29)+SETTINGS!$B$32*ISNUMBER($X29))</f>
        <v/>
      </c>
      <c r="Z29">
        <f>IF($A29="","",IF($Y29=0,"",(SETTINGS!$B$28*IF(ISNUMBER($G29),$G29,0)+SETTINGS!$B$29*IF(ISNUMBER($K29),$K29,0)+SETTINGS!$B$30*IF(ISNUMBER($P29),$P29,0)+SETTINGS!$B$31*IF(ISNUMBER($T29),$T29,0)+SETTINGS!$B$32*IF(ISNUMBER($X29),$X29,0))/$Y29))</f>
        <v/>
      </c>
      <c r="AA29">
        <f>IF($A29="","",COUNT($D29,$H29,$L29,$Q29,$U29))</f>
        <v/>
      </c>
      <c r="AB29">
        <f>IF($A29="","",IF($AA29&lt;=1,"SINGLE-SOURCE / LOW CONFIDENCE",""))</f>
        <v/>
      </c>
      <c r="AC29">
        <f>IF($A29="","",IF(AND($C29="FBS-RECLASSIFYING",ISNUMBER($L29),$L29&lt;0),"NO-AUTO-UPGRADE GUARD APPLIED",""))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MAP'!$D30)</f>
        <v/>
      </c>
      <c r="D30" t="n">
        <v>4.6</v>
      </c>
      <c r="E30" s="1" t="n">
        <v>46108</v>
      </c>
      <c r="F30" t="inlineStr">
        <is>
          <t>https://www.espn.com/college-football/story/_/id/48306284/2026-college-football-sp+-rankings-138-fbs-teams</t>
        </is>
      </c>
      <c r="G30">
        <f>IF($D30="","",$D30-AVERAGE($D$6:$D$143))</f>
        <v/>
      </c>
      <c r="H30" t="n">
        <v>1.4</v>
      </c>
      <c r="I30" s="1" t="n">
        <v>46222</v>
      </c>
      <c r="J30" t="inlineStr">
        <is>
          <t>https://www.espn.com/college-football/fpi</t>
        </is>
      </c>
      <c r="K30">
        <f>IF($H30="","",$H30-AVERAGE($H$6:$H$143))</f>
        <v/>
      </c>
      <c r="M30">
        <f>IF($L30="","",IF($C30="FBS-RECLASSIFYING",IF($L30&lt;0,$L30,$L30*(1-SETTINGS!$B$16)),$L30*(1-SETTINGS!$B$15)))</f>
        <v/>
      </c>
      <c r="P30">
        <f>IF($M30="","",$M30-AVERAGE($M$6:$M$143))</f>
        <v/>
      </c>
      <c r="Q30" t="n">
        <v>4.8</v>
      </c>
      <c r="R30" s="1" t="n">
        <v>46222</v>
      </c>
      <c r="S30" t="inlineStr">
        <is>
          <t>https://www.teamrankings.com/college-football/ranking/predictive-by-other</t>
        </is>
      </c>
      <c r="T30">
        <f>IF($Q30="","",$Q30-AVERAGE($Q$6:$Q$143))</f>
        <v/>
      </c>
      <c r="X30">
        <f>IF($U30="","",$U30-AVERAGE($U$6:$U$143))</f>
        <v/>
      </c>
      <c r="Y30">
        <f>IF($A30="","",SETTINGS!$B$28*ISNUMBER($G30)+SETTINGS!$B$29*ISNUMBER($K30)+SETTINGS!$B$30*ISNUMBER($P30)+SETTINGS!$B$31*ISNUMBER($T30)+SETTINGS!$B$32*ISNUMBER($X30))</f>
        <v/>
      </c>
      <c r="Z30">
        <f>IF($A30="","",IF($Y30=0,"",(SETTINGS!$B$28*IF(ISNUMBER($G30),$G30,0)+SETTINGS!$B$29*IF(ISNUMBER($K30),$K30,0)+SETTINGS!$B$30*IF(ISNUMBER($P30),$P30,0)+SETTINGS!$B$31*IF(ISNUMBER($T30),$T30,0)+SETTINGS!$B$32*IF(ISNUMBER($X30),$X30,0))/$Y30))</f>
        <v/>
      </c>
      <c r="AA30">
        <f>IF($A30="","",COUNT($D30,$H30,$L30,$Q30,$U30))</f>
        <v/>
      </c>
      <c r="AB30">
        <f>IF($A30="","",IF($AA30&lt;=1,"SINGLE-SOURCE / LOW CONFIDENCE",""))</f>
        <v/>
      </c>
      <c r="AC30">
        <f>IF($A30="","",IF(AND($C30="FBS-RECLASSIFYING",ISNUMBER($L30),$L30&lt;0),"NO-AUTO-UPGRADE GUARD APPLIED",""))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MAP'!$D31)</f>
        <v/>
      </c>
      <c r="D31" t="n">
        <v>31.8</v>
      </c>
      <c r="E31" s="1" t="n">
        <v>46108</v>
      </c>
      <c r="F31" t="inlineStr">
        <is>
          <t>https://www.espn.com/college-football/story/_/id/48306284/2026-college-football-sp+-rankings-138-fbs-teams</t>
        </is>
      </c>
      <c r="G31">
        <f>IF($D31="","",$D31-AVERAGE($D$6:$D$143))</f>
        <v/>
      </c>
      <c r="H31" t="n">
        <v>28.7</v>
      </c>
      <c r="I31" s="1" t="n">
        <v>46222</v>
      </c>
      <c r="J31" t="inlineStr">
        <is>
          <t>https://www.espn.com/college-football/fpi</t>
        </is>
      </c>
      <c r="K31">
        <f>IF($H31="","",$H31-AVERAGE($H$6:$H$143))</f>
        <v/>
      </c>
      <c r="M31">
        <f>IF($L31="","",IF($C31="FBS-RECLASSIFYING",IF($L31&lt;0,$L31,$L31*(1-SETTINGS!$B$16)),$L31*(1-SETTINGS!$B$15)))</f>
        <v/>
      </c>
      <c r="P31">
        <f>IF($M31="","",$M31-AVERAGE($M$6:$M$143))</f>
        <v/>
      </c>
      <c r="Q31" t="n">
        <v>32.3</v>
      </c>
      <c r="R31" s="1" t="n">
        <v>46222</v>
      </c>
      <c r="S31" t="inlineStr">
        <is>
          <t>https://www.teamrankings.com/college-football/ranking/predictive-by-other</t>
        </is>
      </c>
      <c r="T31">
        <f>IF($Q31="","",$Q31-AVERAGE($Q$6:$Q$143))</f>
        <v/>
      </c>
      <c r="X31">
        <f>IF($U31="","",$U31-AVERAGE($U$6:$U$143))</f>
        <v/>
      </c>
      <c r="Y31">
        <f>IF($A31="","",SETTINGS!$B$28*ISNUMBER($G31)+SETTINGS!$B$29*ISNUMBER($K31)+SETTINGS!$B$30*ISNUMBER($P31)+SETTINGS!$B$31*ISNUMBER($T31)+SETTINGS!$B$32*ISNUMBER($X31))</f>
        <v/>
      </c>
      <c r="Z31">
        <f>IF($A31="","",IF($Y31=0,"",(SETTINGS!$B$28*IF(ISNUMBER($G31),$G31,0)+SETTINGS!$B$29*IF(ISNUMBER($K31),$K31,0)+SETTINGS!$B$30*IF(ISNUMBER($P31),$P31,0)+SETTINGS!$B$31*IF(ISNUMBER($T31),$T31,0)+SETTINGS!$B$32*IF(ISNUMBER($X31),$X31,0))/$Y31))</f>
        <v/>
      </c>
      <c r="AA31">
        <f>IF($A31="","",COUNT($D31,$H31,$L31,$Q31,$U31))</f>
        <v/>
      </c>
      <c r="AB31">
        <f>IF($A31="","",IF($AA31&lt;=1,"SINGLE-SOURCE / LOW CONFIDENCE",""))</f>
        <v/>
      </c>
      <c r="AC31">
        <f>IF($A31="","",IF(AND($C31="FBS-RECLASSIFYING",ISNUMBER($L31),$L31&lt;0),"NO-AUTO-UPGRADE GUARD APPLIED",""))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MAP'!$D32)</f>
        <v/>
      </c>
      <c r="D32" t="n">
        <v>28.3</v>
      </c>
      <c r="E32" s="1" t="n">
        <v>46108</v>
      </c>
      <c r="F32" t="inlineStr">
        <is>
          <t>https://www.espn.com/college-football/story/_/id/48306284/2026-college-football-sp+-rankings-138-fbs-teams</t>
        </is>
      </c>
      <c r="G32">
        <f>IF($D32="","",$D32-AVERAGE($D$6:$D$143))</f>
        <v/>
      </c>
      <c r="H32" t="n">
        <v>25.3</v>
      </c>
      <c r="I32" s="1" t="n">
        <v>46222</v>
      </c>
      <c r="J32" t="inlineStr">
        <is>
          <t>https://www.espn.com/college-football/fpi</t>
        </is>
      </c>
      <c r="K32">
        <f>IF($H32="","",$H32-AVERAGE($H$6:$H$143))</f>
        <v/>
      </c>
      <c r="M32">
        <f>IF($L32="","",IF($C32="FBS-RECLASSIFYING",IF($L32&lt;0,$L32,$L32*(1-SETTINGS!$B$16)),$L32*(1-SETTINGS!$B$15)))</f>
        <v/>
      </c>
      <c r="P32">
        <f>IF($M32="","",$M32-AVERAGE($M$6:$M$143))</f>
        <v/>
      </c>
      <c r="Q32" t="n">
        <v>29.5</v>
      </c>
      <c r="R32" s="1" t="n">
        <v>46222</v>
      </c>
      <c r="S32" t="inlineStr">
        <is>
          <t>https://www.teamrankings.com/college-football/ranking/predictive-by-other</t>
        </is>
      </c>
      <c r="T32">
        <f>IF($Q32="","",$Q32-AVERAGE($Q$6:$Q$143))</f>
        <v/>
      </c>
      <c r="X32">
        <f>IF($U32="","",$U32-AVERAGE($U$6:$U$143))</f>
        <v/>
      </c>
      <c r="Y32">
        <f>IF($A32="","",SETTINGS!$B$28*ISNUMBER($G32)+SETTINGS!$B$29*ISNUMBER($K32)+SETTINGS!$B$30*ISNUMBER($P32)+SETTINGS!$B$31*ISNUMBER($T32)+SETTINGS!$B$32*ISNUMBER($X32))</f>
        <v/>
      </c>
      <c r="Z32">
        <f>IF($A32="","",IF($Y32=0,"",(SETTINGS!$B$28*IF(ISNUMBER($G32),$G32,0)+SETTINGS!$B$29*IF(ISNUMBER($K32),$K32,0)+SETTINGS!$B$30*IF(ISNUMBER($P32),$P32,0)+SETTINGS!$B$31*IF(ISNUMBER($T32),$T32,0)+SETTINGS!$B$32*IF(ISNUMBER($X32),$X32,0))/$Y32))</f>
        <v/>
      </c>
      <c r="AA32">
        <f>IF($A32="","",COUNT($D32,$H32,$L32,$Q32,$U32))</f>
        <v/>
      </c>
      <c r="AB32">
        <f>IF($A32="","",IF($AA32&lt;=1,"SINGLE-SOURCE / LOW CONFIDENCE",""))</f>
        <v/>
      </c>
      <c r="AC32">
        <f>IF($A32="","",IF(AND($C32="FBS-RECLASSIFYING",ISNUMBER($L32),$L32&lt;0),"NO-AUTO-UPGRADE GUARD APPLIED",""))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MAP'!$D33)</f>
        <v/>
      </c>
      <c r="D33" t="n">
        <v>15.7</v>
      </c>
      <c r="E33" s="1" t="n">
        <v>46108</v>
      </c>
      <c r="F33" t="inlineStr">
        <is>
          <t>https://www.espn.com/college-football/story/_/id/48306284/2026-college-football-sp+-rankings-138-fbs-teams</t>
        </is>
      </c>
      <c r="G33">
        <f>IF($D33="","",$D33-AVERAGE($D$6:$D$143))</f>
        <v/>
      </c>
      <c r="H33" t="n">
        <v>13.7</v>
      </c>
      <c r="I33" s="1" t="n">
        <v>46222</v>
      </c>
      <c r="J33" t="inlineStr">
        <is>
          <t>https://www.espn.com/college-football/fpi</t>
        </is>
      </c>
      <c r="K33">
        <f>IF($H33="","",$H33-AVERAGE($H$6:$H$143))</f>
        <v/>
      </c>
      <c r="M33">
        <f>IF($L33="","",IF($C33="FBS-RECLASSIFYING",IF($L33&lt;0,$L33,$L33*(1-SETTINGS!$B$16)),$L33*(1-SETTINGS!$B$15)))</f>
        <v/>
      </c>
      <c r="P33">
        <f>IF($M33="","",$M33-AVERAGE($M$6:$M$143))</f>
        <v/>
      </c>
      <c r="Q33" t="n">
        <v>16.4</v>
      </c>
      <c r="R33" s="1" t="n">
        <v>46222</v>
      </c>
      <c r="S33" t="inlineStr">
        <is>
          <t>https://www.teamrankings.com/college-football/ranking/predictive-by-other</t>
        </is>
      </c>
      <c r="T33">
        <f>IF($Q33="","",$Q33-AVERAGE($Q$6:$Q$143))</f>
        <v/>
      </c>
      <c r="X33">
        <f>IF($U33="","",$U33-AVERAGE($U$6:$U$143))</f>
        <v/>
      </c>
      <c r="Y33">
        <f>IF($A33="","",SETTINGS!$B$28*ISNUMBER($G33)+SETTINGS!$B$29*ISNUMBER($K33)+SETTINGS!$B$30*ISNUMBER($P33)+SETTINGS!$B$31*ISNUMBER($T33)+SETTINGS!$B$32*ISNUMBER($X33))</f>
        <v/>
      </c>
      <c r="Z33">
        <f>IF($A33="","",IF($Y33=0,"",(SETTINGS!$B$28*IF(ISNUMBER($G33),$G33,0)+SETTINGS!$B$29*IF(ISNUMBER($K33),$K33,0)+SETTINGS!$B$30*IF(ISNUMBER($P33),$P33,0)+SETTINGS!$B$31*IF(ISNUMBER($T33),$T33,0)+SETTINGS!$B$32*IF(ISNUMBER($X33),$X33,0))/$Y33))</f>
        <v/>
      </c>
      <c r="AA33">
        <f>IF($A33="","",COUNT($D33,$H33,$L33,$Q33,$U33))</f>
        <v/>
      </c>
      <c r="AB33">
        <f>IF($A33="","",IF($AA33&lt;=1,"SINGLE-SOURCE / LOW CONFIDENCE",""))</f>
        <v/>
      </c>
      <c r="AC33">
        <f>IF($A33="","",IF(AND($C33="FBS-RECLASSIFYING",ISNUMBER($L33),$L33&lt;0),"NO-AUTO-UPGRADE GUARD APPLIED",""))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MAP'!$D34)</f>
        <v/>
      </c>
      <c r="D34" t="n">
        <v>-2.9</v>
      </c>
      <c r="E34" s="1" t="n">
        <v>46108</v>
      </c>
      <c r="F34" t="inlineStr">
        <is>
          <t>https://www.espn.com/college-football/story/_/id/48306284/2026-college-football-sp+-rankings-138-fbs-teams</t>
        </is>
      </c>
      <c r="G34">
        <f>IF($D34="","",$D34-AVERAGE($D$6:$D$143))</f>
        <v/>
      </c>
      <c r="H34" t="n">
        <v>-0.9</v>
      </c>
      <c r="I34" s="1" t="n">
        <v>46222</v>
      </c>
      <c r="J34" t="inlineStr">
        <is>
          <t>https://www.espn.com/college-football/fpi</t>
        </is>
      </c>
      <c r="K34">
        <f>IF($H34="","",$H34-AVERAGE($H$6:$H$143))</f>
        <v/>
      </c>
      <c r="M34">
        <f>IF($L34="","",IF($C34="FBS-RECLASSIFYING",IF($L34&lt;0,$L34,$L34*(1-SETTINGS!$B$16)),$L34*(1-SETTINGS!$B$15)))</f>
        <v/>
      </c>
      <c r="P34">
        <f>IF($M34="","",$M34-AVERAGE($M$6:$M$143))</f>
        <v/>
      </c>
      <c r="Q34" t="n">
        <v>-2.1</v>
      </c>
      <c r="R34" s="1" t="n">
        <v>46222</v>
      </c>
      <c r="S34" t="inlineStr">
        <is>
          <t>https://www.teamrankings.com/college-football/ranking/predictive-by-other</t>
        </is>
      </c>
      <c r="T34">
        <f>IF($Q34="","",$Q34-AVERAGE($Q$6:$Q$143))</f>
        <v/>
      </c>
      <c r="X34">
        <f>IF($U34="","",$U34-AVERAGE($U$6:$U$143))</f>
        <v/>
      </c>
      <c r="Y34">
        <f>IF($A34="","",SETTINGS!$B$28*ISNUMBER($G34)+SETTINGS!$B$29*ISNUMBER($K34)+SETTINGS!$B$30*ISNUMBER($P34)+SETTINGS!$B$31*ISNUMBER($T34)+SETTINGS!$B$32*ISNUMBER($X34))</f>
        <v/>
      </c>
      <c r="Z34">
        <f>IF($A34="","",IF($Y34=0,"",(SETTINGS!$B$28*IF(ISNUMBER($G34),$G34,0)+SETTINGS!$B$29*IF(ISNUMBER($K34),$K34,0)+SETTINGS!$B$30*IF(ISNUMBER($P34),$P34,0)+SETTINGS!$B$31*IF(ISNUMBER($T34),$T34,0)+SETTINGS!$B$32*IF(ISNUMBER($X34),$X34,0))/$Y34))</f>
        <v/>
      </c>
      <c r="AA34">
        <f>IF($A34="","",COUNT($D34,$H34,$L34,$Q34,$U34))</f>
        <v/>
      </c>
      <c r="AB34">
        <f>IF($A34="","",IF($AA34&lt;=1,"SINGLE-SOURCE / LOW CONFIDENCE",""))</f>
        <v/>
      </c>
      <c r="AC34">
        <f>IF($A34="","",IF(AND($C34="FBS-RECLASSIFYING",ISNUMBER($L34),$L34&lt;0),"NO-AUTO-UPGRADE GUARD APPLIED",""))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MAP'!$D35)</f>
        <v/>
      </c>
      <c r="D35" t="n">
        <v>1.8</v>
      </c>
      <c r="E35" s="1" t="n">
        <v>46108</v>
      </c>
      <c r="F35" t="inlineStr">
        <is>
          <t>https://www.espn.com/college-football/story/_/id/48306284/2026-college-football-sp+-rankings-138-fbs-teams</t>
        </is>
      </c>
      <c r="G35">
        <f>IF($D35="","",$D35-AVERAGE($D$6:$D$143))</f>
        <v/>
      </c>
      <c r="H35" t="n">
        <v>-0.2</v>
      </c>
      <c r="I35" s="1" t="n">
        <v>46222</v>
      </c>
      <c r="J35" t="inlineStr">
        <is>
          <t>https://www.espn.com/college-football/fpi</t>
        </is>
      </c>
      <c r="K35">
        <f>IF($H35="","",$H35-AVERAGE($H$6:$H$143))</f>
        <v/>
      </c>
      <c r="M35">
        <f>IF($L35="","",IF($C35="FBS-RECLASSIFYING",IF($L35&lt;0,$L35,$L35*(1-SETTINGS!$B$16)),$L35*(1-SETTINGS!$B$15)))</f>
        <v/>
      </c>
      <c r="P35">
        <f>IF($M35="","",$M35-AVERAGE($M$6:$M$143))</f>
        <v/>
      </c>
      <c r="Q35" t="n">
        <v>0.8</v>
      </c>
      <c r="R35" s="1" t="n">
        <v>46222</v>
      </c>
      <c r="S35" t="inlineStr">
        <is>
          <t>https://www.teamrankings.com/college-football/ranking/predictive-by-other</t>
        </is>
      </c>
      <c r="T35">
        <f>IF($Q35="","",$Q35-AVERAGE($Q$6:$Q$143))</f>
        <v/>
      </c>
      <c r="X35">
        <f>IF($U35="","",$U35-AVERAGE($U$6:$U$143))</f>
        <v/>
      </c>
      <c r="Y35">
        <f>IF($A35="","",SETTINGS!$B$28*ISNUMBER($G35)+SETTINGS!$B$29*ISNUMBER($K35)+SETTINGS!$B$30*ISNUMBER($P35)+SETTINGS!$B$31*ISNUMBER($T35)+SETTINGS!$B$32*ISNUMBER($X35))</f>
        <v/>
      </c>
      <c r="Z35">
        <f>IF($A35="","",IF($Y35=0,"",(SETTINGS!$B$28*IF(ISNUMBER($G35),$G35,0)+SETTINGS!$B$29*IF(ISNUMBER($K35),$K35,0)+SETTINGS!$B$30*IF(ISNUMBER($P35),$P35,0)+SETTINGS!$B$31*IF(ISNUMBER($T35),$T35,0)+SETTINGS!$B$32*IF(ISNUMBER($X35),$X35,0))/$Y35))</f>
        <v/>
      </c>
      <c r="AA35">
        <f>IF($A35="","",COUNT($D35,$H35,$L35,$Q35,$U35))</f>
        <v/>
      </c>
      <c r="AB35">
        <f>IF($A35="","",IF($AA35&lt;=1,"SINGLE-SOURCE / LOW CONFIDENCE",""))</f>
        <v/>
      </c>
      <c r="AC35">
        <f>IF($A35="","",IF(AND($C35="FBS-RECLASSIFYING",ISNUMBER($L35),$L35&lt;0),"NO-AUTO-UPGRADE GUARD APPLIED",""))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MAP'!$D36)</f>
        <v/>
      </c>
      <c r="D36" t="n">
        <v>5.1</v>
      </c>
      <c r="E36" s="1" t="n">
        <v>46108</v>
      </c>
      <c r="F36" t="inlineStr">
        <is>
          <t>https://www.espn.com/college-football/story/_/id/48306284/2026-college-football-sp+-rankings-138-fbs-teams</t>
        </is>
      </c>
      <c r="G36">
        <f>IF($D36="","",$D36-AVERAGE($D$6:$D$143))</f>
        <v/>
      </c>
      <c r="H36" t="n">
        <v>0.5</v>
      </c>
      <c r="I36" s="1" t="n">
        <v>46222</v>
      </c>
      <c r="J36" t="inlineStr">
        <is>
          <t>https://www.espn.com/college-football/fpi</t>
        </is>
      </c>
      <c r="K36">
        <f>IF($H36="","",$H36-AVERAGE($H$6:$H$143))</f>
        <v/>
      </c>
      <c r="M36">
        <f>IF($L36="","",IF($C36="FBS-RECLASSIFYING",IF($L36&lt;0,$L36,$L36*(1-SETTINGS!$B$16)),$L36*(1-SETTINGS!$B$15)))</f>
        <v/>
      </c>
      <c r="P36">
        <f>IF($M36="","",$M36-AVERAGE($M$6:$M$143))</f>
        <v/>
      </c>
      <c r="Q36" t="n">
        <v>8.199999999999999</v>
      </c>
      <c r="R36" s="1" t="n">
        <v>46222</v>
      </c>
      <c r="S36" t="inlineStr">
        <is>
          <t>https://www.teamrankings.com/college-football/ranking/predictive-by-other</t>
        </is>
      </c>
      <c r="T36">
        <f>IF($Q36="","",$Q36-AVERAGE($Q$6:$Q$143))</f>
        <v/>
      </c>
      <c r="X36">
        <f>IF($U36="","",$U36-AVERAGE($U$6:$U$143))</f>
        <v/>
      </c>
      <c r="Y36">
        <f>IF($A36="","",SETTINGS!$B$28*ISNUMBER($G36)+SETTINGS!$B$29*ISNUMBER($K36)+SETTINGS!$B$30*ISNUMBER($P36)+SETTINGS!$B$31*ISNUMBER($T36)+SETTINGS!$B$32*ISNUMBER($X36))</f>
        <v/>
      </c>
      <c r="Z36">
        <f>IF($A36="","",IF($Y36=0,"",(SETTINGS!$B$28*IF(ISNUMBER($G36),$G36,0)+SETTINGS!$B$29*IF(ISNUMBER($K36),$K36,0)+SETTINGS!$B$30*IF(ISNUMBER($P36),$P36,0)+SETTINGS!$B$31*IF(ISNUMBER($T36),$T36,0)+SETTINGS!$B$32*IF(ISNUMBER($X36),$X36,0))/$Y36))</f>
        <v/>
      </c>
      <c r="AA36">
        <f>IF($A36="","",COUNT($D36,$H36,$L36,$Q36,$U36))</f>
        <v/>
      </c>
      <c r="AB36">
        <f>IF($A36="","",IF($AA36&lt;=1,"SINGLE-SOURCE / LOW CONFIDENCE",""))</f>
        <v/>
      </c>
      <c r="AC36">
        <f>IF($A36="","",IF(AND($C36="FBS-RECLASSIFYING",ISNUMBER($L36),$L36&lt;0),"NO-AUTO-UPGRADE GUARD APPLIED",""))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MAP'!$D37)</f>
        <v/>
      </c>
      <c r="D37" t="n">
        <v>16.8</v>
      </c>
      <c r="E37" s="1" t="n">
        <v>46108</v>
      </c>
      <c r="F37" t="inlineStr">
        <is>
          <t>https://www.espn.com/college-football/story/_/id/48306284/2026-college-football-sp+-rankings-138-fbs-teams</t>
        </is>
      </c>
      <c r="G37">
        <f>IF($D37="","",$D37-AVERAGE($D$6:$D$143))</f>
        <v/>
      </c>
      <c r="H37" t="n">
        <v>17</v>
      </c>
      <c r="I37" s="1" t="n">
        <v>46222</v>
      </c>
      <c r="J37" t="inlineStr">
        <is>
          <t>https://www.espn.com/college-football/fpi</t>
        </is>
      </c>
      <c r="K37">
        <f>IF($H37="","",$H37-AVERAGE($H$6:$H$143))</f>
        <v/>
      </c>
      <c r="M37">
        <f>IF($L37="","",IF($C37="FBS-RECLASSIFYING",IF($L37&lt;0,$L37,$L37*(1-SETTINGS!$B$16)),$L37*(1-SETTINGS!$B$15)))</f>
        <v/>
      </c>
      <c r="P37">
        <f>IF($M37="","",$M37-AVERAGE($M$6:$M$143))</f>
        <v/>
      </c>
      <c r="Q37" t="n">
        <v>20.9</v>
      </c>
      <c r="R37" s="1" t="n">
        <v>46222</v>
      </c>
      <c r="S37" t="inlineStr">
        <is>
          <t>https://www.teamrankings.com/college-football/ranking/predictive-by-other</t>
        </is>
      </c>
      <c r="T37">
        <f>IF($Q37="","",$Q37-AVERAGE($Q$6:$Q$143))</f>
        <v/>
      </c>
      <c r="X37">
        <f>IF($U37="","",$U37-AVERAGE($U$6:$U$143))</f>
        <v/>
      </c>
      <c r="Y37">
        <f>IF($A37="","",SETTINGS!$B$28*ISNUMBER($G37)+SETTINGS!$B$29*ISNUMBER($K37)+SETTINGS!$B$30*ISNUMBER($P37)+SETTINGS!$B$31*ISNUMBER($T37)+SETTINGS!$B$32*ISNUMBER($X37))</f>
        <v/>
      </c>
      <c r="Z37">
        <f>IF($A37="","",IF($Y37=0,"",(SETTINGS!$B$28*IF(ISNUMBER($G37),$G37,0)+SETTINGS!$B$29*IF(ISNUMBER($K37),$K37,0)+SETTINGS!$B$30*IF(ISNUMBER($P37),$P37,0)+SETTINGS!$B$31*IF(ISNUMBER($T37),$T37,0)+SETTINGS!$B$32*IF(ISNUMBER($X37),$X37,0))/$Y37))</f>
        <v/>
      </c>
      <c r="AA37">
        <f>IF($A37="","",COUNT($D37,$H37,$L37,$Q37,$U37))</f>
        <v/>
      </c>
      <c r="AB37">
        <f>IF($A37="","",IF($AA37&lt;=1,"SINGLE-SOURCE / LOW CONFIDENCE",""))</f>
        <v/>
      </c>
      <c r="AC37">
        <f>IF($A37="","",IF(AND($C37="FBS-RECLASSIFYING",ISNUMBER($L37),$L37&lt;0),"NO-AUTO-UPGRADE GUARD APPLIED",""))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MAP'!$D38)</f>
        <v/>
      </c>
      <c r="D38" t="n">
        <v>14.5</v>
      </c>
      <c r="E38" s="1" t="n">
        <v>46108</v>
      </c>
      <c r="F38" t="inlineStr">
        <is>
          <t>https://www.espn.com/college-football/story/_/id/48306284/2026-college-football-sp+-rankings-138-fbs-teams</t>
        </is>
      </c>
      <c r="G38">
        <f>IF($D38="","",$D38-AVERAGE($D$6:$D$143))</f>
        <v/>
      </c>
      <c r="H38" t="n">
        <v>9.9</v>
      </c>
      <c r="I38" s="1" t="n">
        <v>46222</v>
      </c>
      <c r="J38" t="inlineStr">
        <is>
          <t>https://www.espn.com/college-football/fpi</t>
        </is>
      </c>
      <c r="K38">
        <f>IF($H38="","",$H38-AVERAGE($H$6:$H$143))</f>
        <v/>
      </c>
      <c r="M38">
        <f>IF($L38="","",IF($C38="FBS-RECLASSIFYING",IF($L38&lt;0,$L38,$L38*(1-SETTINGS!$B$16)),$L38*(1-SETTINGS!$B$15)))</f>
        <v/>
      </c>
      <c r="P38">
        <f>IF($M38="","",$M38-AVERAGE($M$6:$M$143))</f>
        <v/>
      </c>
      <c r="Q38" t="n">
        <v>16.4</v>
      </c>
      <c r="R38" s="1" t="n">
        <v>46222</v>
      </c>
      <c r="S38" t="inlineStr">
        <is>
          <t>https://www.teamrankings.com/college-football/ranking/predictive-by-other</t>
        </is>
      </c>
      <c r="T38">
        <f>IF($Q38="","",$Q38-AVERAGE($Q$6:$Q$143))</f>
        <v/>
      </c>
      <c r="X38">
        <f>IF($U38="","",$U38-AVERAGE($U$6:$U$143))</f>
        <v/>
      </c>
      <c r="Y38">
        <f>IF($A38="","",SETTINGS!$B$28*ISNUMBER($G38)+SETTINGS!$B$29*ISNUMBER($K38)+SETTINGS!$B$30*ISNUMBER($P38)+SETTINGS!$B$31*ISNUMBER($T38)+SETTINGS!$B$32*ISNUMBER($X38))</f>
        <v/>
      </c>
      <c r="Z38">
        <f>IF($A38="","",IF($Y38=0,"",(SETTINGS!$B$28*IF(ISNUMBER($G38),$G38,0)+SETTINGS!$B$29*IF(ISNUMBER($K38),$K38,0)+SETTINGS!$B$30*IF(ISNUMBER($P38),$P38,0)+SETTINGS!$B$31*IF(ISNUMBER($T38),$T38,0)+SETTINGS!$B$32*IF(ISNUMBER($X38),$X38,0))/$Y38))</f>
        <v/>
      </c>
      <c r="AA38">
        <f>IF($A38="","",COUNT($D38,$H38,$L38,$Q38,$U38))</f>
        <v/>
      </c>
      <c r="AB38">
        <f>IF($A38="","",IF($AA38&lt;=1,"SINGLE-SOURCE / LOW CONFIDENCE",""))</f>
        <v/>
      </c>
      <c r="AC38">
        <f>IF($A38="","",IF(AND($C38="FBS-RECLASSIFYING",ISNUMBER($L38),$L38&lt;0),"NO-AUTO-UPGRADE GUARD APPLIED",""))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MAP'!$D39)</f>
        <v/>
      </c>
      <c r="D39" t="n">
        <v>1.8</v>
      </c>
      <c r="E39" s="1" t="n">
        <v>46108</v>
      </c>
      <c r="F39" t="inlineStr">
        <is>
          <t>https://www.espn.com/college-football/story/_/id/48306284/2026-college-football-sp+-rankings-138-fbs-teams</t>
        </is>
      </c>
      <c r="G39">
        <f>IF($D39="","",$D39-AVERAGE($D$6:$D$143))</f>
        <v/>
      </c>
      <c r="H39" t="n">
        <v>4.8</v>
      </c>
      <c r="I39" s="1" t="n">
        <v>46222</v>
      </c>
      <c r="J39" t="inlineStr">
        <is>
          <t>https://www.espn.com/college-football/fpi</t>
        </is>
      </c>
      <c r="K39">
        <f>IF($H39="","",$H39-AVERAGE($H$6:$H$143))</f>
        <v/>
      </c>
      <c r="M39">
        <f>IF($L39="","",IF($C39="FBS-RECLASSIFYING",IF($L39&lt;0,$L39,$L39*(1-SETTINGS!$B$16)),$L39*(1-SETTINGS!$B$15)))</f>
        <v/>
      </c>
      <c r="P39">
        <f>IF($M39="","",$M39-AVERAGE($M$6:$M$143))</f>
        <v/>
      </c>
      <c r="Q39" t="n">
        <v>8.4</v>
      </c>
      <c r="R39" s="1" t="n">
        <v>46222</v>
      </c>
      <c r="S39" t="inlineStr">
        <is>
          <t>https://www.teamrankings.com/college-football/ranking/predictive-by-other</t>
        </is>
      </c>
      <c r="T39">
        <f>IF($Q39="","",$Q39-AVERAGE($Q$6:$Q$143))</f>
        <v/>
      </c>
      <c r="X39">
        <f>IF($U39="","",$U39-AVERAGE($U$6:$U$143))</f>
        <v/>
      </c>
      <c r="Y39">
        <f>IF($A39="","",SETTINGS!$B$28*ISNUMBER($G39)+SETTINGS!$B$29*ISNUMBER($K39)+SETTINGS!$B$30*ISNUMBER($P39)+SETTINGS!$B$31*ISNUMBER($T39)+SETTINGS!$B$32*ISNUMBER($X39))</f>
        <v/>
      </c>
      <c r="Z39">
        <f>IF($A39="","",IF($Y39=0,"",(SETTINGS!$B$28*IF(ISNUMBER($G39),$G39,0)+SETTINGS!$B$29*IF(ISNUMBER($K39),$K39,0)+SETTINGS!$B$30*IF(ISNUMBER($P39),$P39,0)+SETTINGS!$B$31*IF(ISNUMBER($T39),$T39,0)+SETTINGS!$B$32*IF(ISNUMBER($X39),$X39,0))/$Y39))</f>
        <v/>
      </c>
      <c r="AA39">
        <f>IF($A39="","",COUNT($D39,$H39,$L39,$Q39,$U39))</f>
        <v/>
      </c>
      <c r="AB39">
        <f>IF($A39="","",IF($AA39&lt;=1,"SINGLE-SOURCE / LOW CONFIDENCE",""))</f>
        <v/>
      </c>
      <c r="AC39">
        <f>IF($A39="","",IF(AND($C39="FBS-RECLASSIFYING",ISNUMBER($L39),$L39&lt;0),"NO-AUTO-UPGRADE GUARD APPLIED",""))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MAP'!$D40)</f>
        <v/>
      </c>
      <c r="D40" t="n">
        <v>10.2</v>
      </c>
      <c r="E40" s="1" t="n">
        <v>46108</v>
      </c>
      <c r="F40" t="inlineStr">
        <is>
          <t>https://www.espn.com/college-football/story/_/id/48306284/2026-college-football-sp+-rankings-138-fbs-teams</t>
        </is>
      </c>
      <c r="G40">
        <f>IF($D40="","",$D40-AVERAGE($D$6:$D$143))</f>
        <v/>
      </c>
      <c r="H40" t="n">
        <v>7.2</v>
      </c>
      <c r="I40" s="1" t="n">
        <v>46222</v>
      </c>
      <c r="J40" t="inlineStr">
        <is>
          <t>https://www.espn.com/college-football/fpi</t>
        </is>
      </c>
      <c r="K40">
        <f>IF($H40="","",$H40-AVERAGE($H$6:$H$143))</f>
        <v/>
      </c>
      <c r="M40">
        <f>IF($L40="","",IF($C40="FBS-RECLASSIFYING",IF($L40&lt;0,$L40,$L40*(1-SETTINGS!$B$16)),$L40*(1-SETTINGS!$B$15)))</f>
        <v/>
      </c>
      <c r="P40">
        <f>IF($M40="","",$M40-AVERAGE($M$6:$M$143))</f>
        <v/>
      </c>
      <c r="Q40" t="n">
        <v>8.699999999999999</v>
      </c>
      <c r="R40" s="1" t="n">
        <v>46222</v>
      </c>
      <c r="S40" t="inlineStr">
        <is>
          <t>https://www.teamrankings.com/college-football/ranking/predictive-by-other</t>
        </is>
      </c>
      <c r="T40">
        <f>IF($Q40="","",$Q40-AVERAGE($Q$6:$Q$143))</f>
        <v/>
      </c>
      <c r="X40">
        <f>IF($U40="","",$U40-AVERAGE($U$6:$U$143))</f>
        <v/>
      </c>
      <c r="Y40">
        <f>IF($A40="","",SETTINGS!$B$28*ISNUMBER($G40)+SETTINGS!$B$29*ISNUMBER($K40)+SETTINGS!$B$30*ISNUMBER($P40)+SETTINGS!$B$31*ISNUMBER($T40)+SETTINGS!$B$32*ISNUMBER($X40))</f>
        <v/>
      </c>
      <c r="Z40">
        <f>IF($A40="","",IF($Y40=0,"",(SETTINGS!$B$28*IF(ISNUMBER($G40),$G40,0)+SETTINGS!$B$29*IF(ISNUMBER($K40),$K40,0)+SETTINGS!$B$30*IF(ISNUMBER($P40),$P40,0)+SETTINGS!$B$31*IF(ISNUMBER($T40),$T40,0)+SETTINGS!$B$32*IF(ISNUMBER($X40),$X40,0))/$Y40))</f>
        <v/>
      </c>
      <c r="AA40">
        <f>IF($A40="","",COUNT($D40,$H40,$L40,$Q40,$U40))</f>
        <v/>
      </c>
      <c r="AB40">
        <f>IF($A40="","",IF($AA40&lt;=1,"SINGLE-SOURCE / LOW CONFIDENCE",""))</f>
        <v/>
      </c>
      <c r="AC40">
        <f>IF($A40="","",IF(AND($C40="FBS-RECLASSIFYING",ISNUMBER($L40),$L40&lt;0),"NO-AUTO-UPGRADE GUARD APPLIED",""))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MAP'!$D41)</f>
        <v/>
      </c>
      <c r="D41" t="n">
        <v>6.4</v>
      </c>
      <c r="E41" s="1" t="n">
        <v>46108</v>
      </c>
      <c r="F41" t="inlineStr">
        <is>
          <t>https://www.espn.com/college-football/story/_/id/48306284/2026-college-football-sp+-rankings-138-fbs-teams</t>
        </is>
      </c>
      <c r="G41">
        <f>IF($D41="","",$D41-AVERAGE($D$6:$D$143))</f>
        <v/>
      </c>
      <c r="H41" t="n">
        <v>4.8</v>
      </c>
      <c r="I41" s="1" t="n">
        <v>46222</v>
      </c>
      <c r="J41" t="inlineStr">
        <is>
          <t>https://www.espn.com/college-football/fpi</t>
        </is>
      </c>
      <c r="K41">
        <f>IF($H41="","",$H41-AVERAGE($H$6:$H$143))</f>
        <v/>
      </c>
      <c r="M41">
        <f>IF($L41="","",IF($C41="FBS-RECLASSIFYING",IF($L41&lt;0,$L41,$L41*(1-SETTINGS!$B$16)),$L41*(1-SETTINGS!$B$15)))</f>
        <v/>
      </c>
      <c r="P41">
        <f>IF($M41="","",$M41-AVERAGE($M$6:$M$143))</f>
        <v/>
      </c>
      <c r="Q41" t="n">
        <v>8.699999999999999</v>
      </c>
      <c r="R41" s="1" t="n">
        <v>46222</v>
      </c>
      <c r="S41" t="inlineStr">
        <is>
          <t>https://www.teamrankings.com/college-football/ranking/predictive-by-other</t>
        </is>
      </c>
      <c r="T41">
        <f>IF($Q41="","",$Q41-AVERAGE($Q$6:$Q$143))</f>
        <v/>
      </c>
      <c r="X41">
        <f>IF($U41="","",$U41-AVERAGE($U$6:$U$143))</f>
        <v/>
      </c>
      <c r="Y41">
        <f>IF($A41="","",SETTINGS!$B$28*ISNUMBER($G41)+SETTINGS!$B$29*ISNUMBER($K41)+SETTINGS!$B$30*ISNUMBER($P41)+SETTINGS!$B$31*ISNUMBER($T41)+SETTINGS!$B$32*ISNUMBER($X41))</f>
        <v/>
      </c>
      <c r="Z41">
        <f>IF($A41="","",IF($Y41=0,"",(SETTINGS!$B$28*IF(ISNUMBER($G41),$G41,0)+SETTINGS!$B$29*IF(ISNUMBER($K41),$K41,0)+SETTINGS!$B$30*IF(ISNUMBER($P41),$P41,0)+SETTINGS!$B$31*IF(ISNUMBER($T41),$T41,0)+SETTINGS!$B$32*IF(ISNUMBER($X41),$X41,0))/$Y41))</f>
        <v/>
      </c>
      <c r="AA41">
        <f>IF($A41="","",COUNT($D41,$H41,$L41,$Q41,$U41))</f>
        <v/>
      </c>
      <c r="AB41">
        <f>IF($A41="","",IF($AA41&lt;=1,"SINGLE-SOURCE / LOW CONFIDENCE",""))</f>
        <v/>
      </c>
      <c r="AC41">
        <f>IF($A41="","",IF(AND($C41="FBS-RECLASSIFYING",ISNUMBER($L41),$L41&lt;0),"NO-AUTO-UPGRADE GUARD APPLIED",""))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MAP'!$D42)</f>
        <v/>
      </c>
      <c r="D42" t="n">
        <v>4.5</v>
      </c>
      <c r="E42" s="1" t="n">
        <v>46108</v>
      </c>
      <c r="F42" t="inlineStr">
        <is>
          <t>https://www.espn.com/college-football/story/_/id/48306284/2026-college-football-sp+-rankings-138-fbs-teams</t>
        </is>
      </c>
      <c r="G42">
        <f>IF($D42="","",$D42-AVERAGE($D$6:$D$143))</f>
        <v/>
      </c>
      <c r="H42" t="n">
        <v>6.5</v>
      </c>
      <c r="I42" s="1" t="n">
        <v>46222</v>
      </c>
      <c r="J42" t="inlineStr">
        <is>
          <t>https://www.espn.com/college-football/fpi</t>
        </is>
      </c>
      <c r="K42">
        <f>IF($H42="","",$H42-AVERAGE($H$6:$H$143))</f>
        <v/>
      </c>
      <c r="M42">
        <f>IF($L42="","",IF($C42="FBS-RECLASSIFYING",IF($L42&lt;0,$L42,$L42*(1-SETTINGS!$B$16)),$L42*(1-SETTINGS!$B$15)))</f>
        <v/>
      </c>
      <c r="P42">
        <f>IF($M42="","",$M42-AVERAGE($M$6:$M$143))</f>
        <v/>
      </c>
      <c r="Q42" t="n">
        <v>4.6</v>
      </c>
      <c r="R42" s="1" t="n">
        <v>46222</v>
      </c>
      <c r="S42" t="inlineStr">
        <is>
          <t>https://www.teamrankings.com/college-football/ranking/predictive-by-other</t>
        </is>
      </c>
      <c r="T42">
        <f>IF($Q42="","",$Q42-AVERAGE($Q$6:$Q$143))</f>
        <v/>
      </c>
      <c r="X42">
        <f>IF($U42="","",$U42-AVERAGE($U$6:$U$143))</f>
        <v/>
      </c>
      <c r="Y42">
        <f>IF($A42="","",SETTINGS!$B$28*ISNUMBER($G42)+SETTINGS!$B$29*ISNUMBER($K42)+SETTINGS!$B$30*ISNUMBER($P42)+SETTINGS!$B$31*ISNUMBER($T42)+SETTINGS!$B$32*ISNUMBER($X42))</f>
        <v/>
      </c>
      <c r="Z42">
        <f>IF($A42="","",IF($Y42=0,"",(SETTINGS!$B$28*IF(ISNUMBER($G42),$G42,0)+SETTINGS!$B$29*IF(ISNUMBER($K42),$K42,0)+SETTINGS!$B$30*IF(ISNUMBER($P42),$P42,0)+SETTINGS!$B$31*IF(ISNUMBER($T42),$T42,0)+SETTINGS!$B$32*IF(ISNUMBER($X42),$X42,0))/$Y42))</f>
        <v/>
      </c>
      <c r="AA42">
        <f>IF($A42="","",COUNT($D42,$H42,$L42,$Q42,$U42))</f>
        <v/>
      </c>
      <c r="AB42">
        <f>IF($A42="","",IF($AA42&lt;=1,"SINGLE-SOURCE / LOW CONFIDENCE",""))</f>
        <v/>
      </c>
      <c r="AC42">
        <f>IF($A42="","",IF(AND($C42="FBS-RECLASSIFYING",ISNUMBER($L42),$L42&lt;0),"NO-AUTO-UPGRADE GUARD APPLIED",""))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MAP'!$D43)</f>
        <v/>
      </c>
      <c r="D43" t="n">
        <v>15.5</v>
      </c>
      <c r="E43" s="1" t="n">
        <v>46108</v>
      </c>
      <c r="F43" t="inlineStr">
        <is>
          <t>https://www.espn.com/college-football/story/_/id/48306284/2026-college-football-sp+-rankings-138-fbs-teams</t>
        </is>
      </c>
      <c r="G43">
        <f>IF($D43="","",$D43-AVERAGE($D$6:$D$143))</f>
        <v/>
      </c>
      <c r="H43" t="n">
        <v>13.1</v>
      </c>
      <c r="I43" s="1" t="n">
        <v>46222</v>
      </c>
      <c r="J43" t="inlineStr">
        <is>
          <t>https://www.espn.com/college-football/fpi</t>
        </is>
      </c>
      <c r="K43">
        <f>IF($H43="","",$H43-AVERAGE($H$6:$H$143))</f>
        <v/>
      </c>
      <c r="M43">
        <f>IF($L43="","",IF($C43="FBS-RECLASSIFYING",IF($L43&lt;0,$L43,$L43*(1-SETTINGS!$B$16)),$L43*(1-SETTINGS!$B$15)))</f>
        <v/>
      </c>
      <c r="P43">
        <f>IF($M43="","",$M43-AVERAGE($M$6:$M$143))</f>
        <v/>
      </c>
      <c r="Q43" t="n">
        <v>14.6</v>
      </c>
      <c r="R43" s="1" t="n">
        <v>46222</v>
      </c>
      <c r="S43" t="inlineStr">
        <is>
          <t>https://www.teamrankings.com/college-football/ranking/predictive-by-other</t>
        </is>
      </c>
      <c r="T43">
        <f>IF($Q43="","",$Q43-AVERAGE($Q$6:$Q$143))</f>
        <v/>
      </c>
      <c r="X43">
        <f>IF($U43="","",$U43-AVERAGE($U$6:$U$143))</f>
        <v/>
      </c>
      <c r="Y43">
        <f>IF($A43="","",SETTINGS!$B$28*ISNUMBER($G43)+SETTINGS!$B$29*ISNUMBER($K43)+SETTINGS!$B$30*ISNUMBER($P43)+SETTINGS!$B$31*ISNUMBER($T43)+SETTINGS!$B$32*ISNUMBER($X43))</f>
        <v/>
      </c>
      <c r="Z43">
        <f>IF($A43="","",IF($Y43=0,"",(SETTINGS!$B$28*IF(ISNUMBER($G43),$G43,0)+SETTINGS!$B$29*IF(ISNUMBER($K43),$K43,0)+SETTINGS!$B$30*IF(ISNUMBER($P43),$P43,0)+SETTINGS!$B$31*IF(ISNUMBER($T43),$T43,0)+SETTINGS!$B$32*IF(ISNUMBER($X43),$X43,0))/$Y43))</f>
        <v/>
      </c>
      <c r="AA43">
        <f>IF($A43="","",COUNT($D43,$H43,$L43,$Q43,$U43))</f>
        <v/>
      </c>
      <c r="AB43">
        <f>IF($A43="","",IF($AA43&lt;=1,"SINGLE-SOURCE / LOW CONFIDENCE",""))</f>
        <v/>
      </c>
      <c r="AC43">
        <f>IF($A43="","",IF(AND($C43="FBS-RECLASSIFYING",ISNUMBER($L43),$L43&lt;0),"NO-AUTO-UPGRADE GUARD APPLIED",""))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MAP'!$D44)</f>
        <v/>
      </c>
      <c r="D44" t="n">
        <v>4.5</v>
      </c>
      <c r="E44" s="1" t="n">
        <v>46108</v>
      </c>
      <c r="F44" t="inlineStr">
        <is>
          <t>https://www.espn.com/college-football/story/_/id/48306284/2026-college-football-sp+-rankings-138-fbs-teams</t>
        </is>
      </c>
      <c r="G44">
        <f>IF($D44="","",$D44-AVERAGE($D$6:$D$143))</f>
        <v/>
      </c>
      <c r="H44" t="n">
        <v>4.4</v>
      </c>
      <c r="I44" s="1" t="n">
        <v>46222</v>
      </c>
      <c r="J44" t="inlineStr">
        <is>
          <t>https://www.espn.com/college-football/fpi</t>
        </is>
      </c>
      <c r="K44">
        <f>IF($H44="","",$H44-AVERAGE($H$6:$H$143))</f>
        <v/>
      </c>
      <c r="M44">
        <f>IF($L44="","",IF($C44="FBS-RECLASSIFYING",IF($L44&lt;0,$L44,$L44*(1-SETTINGS!$B$16)),$L44*(1-SETTINGS!$B$15)))</f>
        <v/>
      </c>
      <c r="P44">
        <f>IF($M44="","",$M44-AVERAGE($M$6:$M$143))</f>
        <v/>
      </c>
      <c r="Q44" t="n">
        <v>0.3</v>
      </c>
      <c r="R44" s="1" t="n">
        <v>46222</v>
      </c>
      <c r="S44" t="inlineStr">
        <is>
          <t>https://www.teamrankings.com/college-football/ranking/predictive-by-other</t>
        </is>
      </c>
      <c r="T44">
        <f>IF($Q44="","",$Q44-AVERAGE($Q$6:$Q$143))</f>
        <v/>
      </c>
      <c r="X44">
        <f>IF($U44="","",$U44-AVERAGE($U$6:$U$143))</f>
        <v/>
      </c>
      <c r="Y44">
        <f>IF($A44="","",SETTINGS!$B$28*ISNUMBER($G44)+SETTINGS!$B$29*ISNUMBER($K44)+SETTINGS!$B$30*ISNUMBER($P44)+SETTINGS!$B$31*ISNUMBER($T44)+SETTINGS!$B$32*ISNUMBER($X44))</f>
        <v/>
      </c>
      <c r="Z44">
        <f>IF($A44="","",IF($Y44=0,"",(SETTINGS!$B$28*IF(ISNUMBER($G44),$G44,0)+SETTINGS!$B$29*IF(ISNUMBER($K44),$K44,0)+SETTINGS!$B$30*IF(ISNUMBER($P44),$P44,0)+SETTINGS!$B$31*IF(ISNUMBER($T44),$T44,0)+SETTINGS!$B$32*IF(ISNUMBER($X44),$X44,0))/$Y44))</f>
        <v/>
      </c>
      <c r="AA44">
        <f>IF($A44="","",COUNT($D44,$H44,$L44,$Q44,$U44))</f>
        <v/>
      </c>
      <c r="AB44">
        <f>IF($A44="","",IF($AA44&lt;=1,"SINGLE-SOURCE / LOW CONFIDENCE",""))</f>
        <v/>
      </c>
      <c r="AC44">
        <f>IF($A44="","",IF(AND($C44="FBS-RECLASSIFYING",ISNUMBER($L44),$L44&lt;0),"NO-AUTO-UPGRADE GUARD APPLIED",""))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MAP'!$D45)</f>
        <v/>
      </c>
      <c r="D45" t="n">
        <v>0.9</v>
      </c>
      <c r="E45" s="1" t="n">
        <v>46108</v>
      </c>
      <c r="F45" t="inlineStr">
        <is>
          <t>https://www.espn.com/college-football/story/_/id/48306284/2026-college-football-sp+-rankings-138-fbs-teams</t>
        </is>
      </c>
      <c r="G45">
        <f>IF($D45="","",$D45-AVERAGE($D$6:$D$143))</f>
        <v/>
      </c>
      <c r="H45" t="n">
        <v>4.5</v>
      </c>
      <c r="I45" s="1" t="n">
        <v>46222</v>
      </c>
      <c r="J45" t="inlineStr">
        <is>
          <t>https://www.espn.com/college-football/fpi</t>
        </is>
      </c>
      <c r="K45">
        <f>IF($H45="","",$H45-AVERAGE($H$6:$H$143))</f>
        <v/>
      </c>
      <c r="M45">
        <f>IF($L45="","",IF($C45="FBS-RECLASSIFYING",IF($L45&lt;0,$L45,$L45*(1-SETTINGS!$B$16)),$L45*(1-SETTINGS!$B$15)))</f>
        <v/>
      </c>
      <c r="P45">
        <f>IF($M45="","",$M45-AVERAGE($M$6:$M$143))</f>
        <v/>
      </c>
      <c r="Q45" t="n">
        <v>-1.4</v>
      </c>
      <c r="R45" s="1" t="n">
        <v>46222</v>
      </c>
      <c r="S45" t="inlineStr">
        <is>
          <t>https://www.teamrankings.com/college-football/ranking/predictive-by-other</t>
        </is>
      </c>
      <c r="T45">
        <f>IF($Q45="","",$Q45-AVERAGE($Q$6:$Q$143))</f>
        <v/>
      </c>
      <c r="X45">
        <f>IF($U45="","",$U45-AVERAGE($U$6:$U$143))</f>
        <v/>
      </c>
      <c r="Y45">
        <f>IF($A45="","",SETTINGS!$B$28*ISNUMBER($G45)+SETTINGS!$B$29*ISNUMBER($K45)+SETTINGS!$B$30*ISNUMBER($P45)+SETTINGS!$B$31*ISNUMBER($T45)+SETTINGS!$B$32*ISNUMBER($X45))</f>
        <v/>
      </c>
      <c r="Z45">
        <f>IF($A45="","",IF($Y45=0,"",(SETTINGS!$B$28*IF(ISNUMBER($G45),$G45,0)+SETTINGS!$B$29*IF(ISNUMBER($K45),$K45,0)+SETTINGS!$B$30*IF(ISNUMBER($P45),$P45,0)+SETTINGS!$B$31*IF(ISNUMBER($T45),$T45,0)+SETTINGS!$B$32*IF(ISNUMBER($X45),$X45,0))/$Y45))</f>
        <v/>
      </c>
      <c r="AA45">
        <f>IF($A45="","",COUNT($D45,$H45,$L45,$Q45,$U45))</f>
        <v/>
      </c>
      <c r="AB45">
        <f>IF($A45="","",IF($AA45&lt;=1,"SINGLE-SOURCE / LOW CONFIDENCE",""))</f>
        <v/>
      </c>
      <c r="AC45">
        <f>IF($A45="","",IF(AND($C45="FBS-RECLASSIFYING",ISNUMBER($L45),$L45&lt;0),"NO-AUTO-UPGRADE GUARD APPLIED",""))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MAP'!$D46)</f>
        <v/>
      </c>
      <c r="D46" t="n">
        <v>8.199999999999999</v>
      </c>
      <c r="E46" s="1" t="n">
        <v>46108</v>
      </c>
      <c r="F46" t="inlineStr">
        <is>
          <t>https://www.espn.com/college-football/story/_/id/48306284/2026-college-football-sp+-rankings-138-fbs-teams</t>
        </is>
      </c>
      <c r="G46">
        <f>IF($D46="","",$D46-AVERAGE($D$6:$D$143))</f>
        <v/>
      </c>
      <c r="H46" t="n">
        <v>7.1</v>
      </c>
      <c r="I46" s="1" t="n">
        <v>46222</v>
      </c>
      <c r="J46" t="inlineStr">
        <is>
          <t>https://www.espn.com/college-football/fpi</t>
        </is>
      </c>
      <c r="K46">
        <f>IF($H46="","",$H46-AVERAGE($H$6:$H$143))</f>
        <v/>
      </c>
      <c r="M46">
        <f>IF($L46="","",IF($C46="FBS-RECLASSIFYING",IF($L46&lt;0,$L46,$L46*(1-SETTINGS!$B$16)),$L46*(1-SETTINGS!$B$15)))</f>
        <v/>
      </c>
      <c r="P46">
        <f>IF($M46="","",$M46-AVERAGE($M$6:$M$143))</f>
        <v/>
      </c>
      <c r="Q46" t="n">
        <v>10.6</v>
      </c>
      <c r="R46" s="1" t="n">
        <v>46222</v>
      </c>
      <c r="S46" t="inlineStr">
        <is>
          <t>https://www.teamrankings.com/college-football/ranking/predictive-by-other</t>
        </is>
      </c>
      <c r="T46">
        <f>IF($Q46="","",$Q46-AVERAGE($Q$6:$Q$143))</f>
        <v/>
      </c>
      <c r="X46">
        <f>IF($U46="","",$U46-AVERAGE($U$6:$U$143))</f>
        <v/>
      </c>
      <c r="Y46">
        <f>IF($A46="","",SETTINGS!$B$28*ISNUMBER($G46)+SETTINGS!$B$29*ISNUMBER($K46)+SETTINGS!$B$30*ISNUMBER($P46)+SETTINGS!$B$31*ISNUMBER($T46)+SETTINGS!$B$32*ISNUMBER($X46))</f>
        <v/>
      </c>
      <c r="Z46">
        <f>IF($A46="","",IF($Y46=0,"",(SETTINGS!$B$28*IF(ISNUMBER($G46),$G46,0)+SETTINGS!$B$29*IF(ISNUMBER($K46),$K46,0)+SETTINGS!$B$30*IF(ISNUMBER($P46),$P46,0)+SETTINGS!$B$31*IF(ISNUMBER($T46),$T46,0)+SETTINGS!$B$32*IF(ISNUMBER($X46),$X46,0))/$Y46))</f>
        <v/>
      </c>
      <c r="AA46">
        <f>IF($A46="","",COUNT($D46,$H46,$L46,$Q46,$U46))</f>
        <v/>
      </c>
      <c r="AB46">
        <f>IF($A46="","",IF($AA46&lt;=1,"SINGLE-SOURCE / LOW CONFIDENCE",""))</f>
        <v/>
      </c>
      <c r="AC46">
        <f>IF($A46="","",IF(AND($C46="FBS-RECLASSIFYING",ISNUMBER($L46),$L46&lt;0),"NO-AUTO-UPGRADE GUARD APPLIED",""))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MAP'!$D47)</f>
        <v/>
      </c>
      <c r="D47" t="n">
        <v>1</v>
      </c>
      <c r="E47" s="1" t="n">
        <v>46108</v>
      </c>
      <c r="F47" t="inlineStr">
        <is>
          <t>https://www.espn.com/college-football/story/_/id/48306284/2026-college-football-sp+-rankings-138-fbs-teams</t>
        </is>
      </c>
      <c r="G47">
        <f>IF($D47="","",$D47-AVERAGE($D$6:$D$143))</f>
        <v/>
      </c>
      <c r="H47" t="n">
        <v>-0.9</v>
      </c>
      <c r="I47" s="1" t="n">
        <v>46222</v>
      </c>
      <c r="J47" t="inlineStr">
        <is>
          <t>https://www.espn.com/college-football/fpi</t>
        </is>
      </c>
      <c r="K47">
        <f>IF($H47="","",$H47-AVERAGE($H$6:$H$143))</f>
        <v/>
      </c>
      <c r="M47">
        <f>IF($L47="","",IF($C47="FBS-RECLASSIFYING",IF($L47&lt;0,$L47,$L47*(1-SETTINGS!$B$16)),$L47*(1-SETTINGS!$B$15)))</f>
        <v/>
      </c>
      <c r="P47">
        <f>IF($M47="","",$M47-AVERAGE($M$6:$M$143))</f>
        <v/>
      </c>
      <c r="Q47" t="n">
        <v>0</v>
      </c>
      <c r="R47" s="1" t="n">
        <v>46222</v>
      </c>
      <c r="S47" t="inlineStr">
        <is>
          <t>https://www.teamrankings.com/college-football/ranking/predictive-by-other</t>
        </is>
      </c>
      <c r="T47">
        <f>IF($Q47="","",$Q47-AVERAGE($Q$6:$Q$143))</f>
        <v/>
      </c>
      <c r="X47">
        <f>IF($U47="","",$U47-AVERAGE($U$6:$U$143))</f>
        <v/>
      </c>
      <c r="Y47">
        <f>IF($A47="","",SETTINGS!$B$28*ISNUMBER($G47)+SETTINGS!$B$29*ISNUMBER($K47)+SETTINGS!$B$30*ISNUMBER($P47)+SETTINGS!$B$31*ISNUMBER($T47)+SETTINGS!$B$32*ISNUMBER($X47))</f>
        <v/>
      </c>
      <c r="Z47">
        <f>IF($A47="","",IF($Y47=0,"",(SETTINGS!$B$28*IF(ISNUMBER($G47),$G47,0)+SETTINGS!$B$29*IF(ISNUMBER($K47),$K47,0)+SETTINGS!$B$30*IF(ISNUMBER($P47),$P47,0)+SETTINGS!$B$31*IF(ISNUMBER($T47),$T47,0)+SETTINGS!$B$32*IF(ISNUMBER($X47),$X47,0))/$Y47))</f>
        <v/>
      </c>
      <c r="AA47">
        <f>IF($A47="","",COUNT($D47,$H47,$L47,$Q47,$U47))</f>
        <v/>
      </c>
      <c r="AB47">
        <f>IF($A47="","",IF($AA47&lt;=1,"SINGLE-SOURCE / LOW CONFIDENCE",""))</f>
        <v/>
      </c>
      <c r="AC47">
        <f>IF($A47="","",IF(AND($C47="FBS-RECLASSIFYING",ISNUMBER($L47),$L47&lt;0),"NO-AUTO-UPGRADE GUARD APPLIED",""))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MAP'!$D48)</f>
        <v/>
      </c>
      <c r="D48" t="n">
        <v>3.7</v>
      </c>
      <c r="E48" s="1" t="n">
        <v>46108</v>
      </c>
      <c r="F48" t="inlineStr">
        <is>
          <t>https://www.espn.com/college-football/story/_/id/48306284/2026-college-football-sp+-rankings-138-fbs-teams</t>
        </is>
      </c>
      <c r="G48">
        <f>IF($D48="","",$D48-AVERAGE($D$6:$D$143))</f>
        <v/>
      </c>
      <c r="H48" t="n">
        <v>2.8</v>
      </c>
      <c r="I48" s="1" t="n">
        <v>46222</v>
      </c>
      <c r="J48" t="inlineStr">
        <is>
          <t>https://www.espn.com/college-football/fpi</t>
        </is>
      </c>
      <c r="K48">
        <f>IF($H48="","",$H48-AVERAGE($H$6:$H$143))</f>
        <v/>
      </c>
      <c r="M48">
        <f>IF($L48="","",IF($C48="FBS-RECLASSIFYING",IF($L48&lt;0,$L48,$L48*(1-SETTINGS!$B$16)),$L48*(1-SETTINGS!$B$15)))</f>
        <v/>
      </c>
      <c r="P48">
        <f>IF($M48="","",$M48-AVERAGE($M$6:$M$143))</f>
        <v/>
      </c>
      <c r="Q48" t="n">
        <v>5.4</v>
      </c>
      <c r="R48" s="1" t="n">
        <v>46222</v>
      </c>
      <c r="S48" t="inlineStr">
        <is>
          <t>https://www.teamrankings.com/college-football/ranking/predictive-by-other</t>
        </is>
      </c>
      <c r="T48">
        <f>IF($Q48="","",$Q48-AVERAGE($Q$6:$Q$143))</f>
        <v/>
      </c>
      <c r="X48">
        <f>IF($U48="","",$U48-AVERAGE($U$6:$U$143))</f>
        <v/>
      </c>
      <c r="Y48">
        <f>IF($A48="","",SETTINGS!$B$28*ISNUMBER($G48)+SETTINGS!$B$29*ISNUMBER($K48)+SETTINGS!$B$30*ISNUMBER($P48)+SETTINGS!$B$31*ISNUMBER($T48)+SETTINGS!$B$32*ISNUMBER($X48))</f>
        <v/>
      </c>
      <c r="Z48">
        <f>IF($A48="","",IF($Y48=0,"",(SETTINGS!$B$28*IF(ISNUMBER($G48),$G48,0)+SETTINGS!$B$29*IF(ISNUMBER($K48),$K48,0)+SETTINGS!$B$30*IF(ISNUMBER($P48),$P48,0)+SETTINGS!$B$31*IF(ISNUMBER($T48),$T48,0)+SETTINGS!$B$32*IF(ISNUMBER($X48),$X48,0))/$Y48))</f>
        <v/>
      </c>
      <c r="AA48">
        <f>IF($A48="","",COUNT($D48,$H48,$L48,$Q48,$U48))</f>
        <v/>
      </c>
      <c r="AB48">
        <f>IF($A48="","",IF($AA48&lt;=1,"SINGLE-SOURCE / LOW CONFIDENCE",""))</f>
        <v/>
      </c>
      <c r="AC48">
        <f>IF($A48="","",IF(AND($C48="FBS-RECLASSIFYING",ISNUMBER($L48),$L48&lt;0),"NO-AUTO-UPGRADE GUARD APPLIED",""))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MAP'!$D49)</f>
        <v/>
      </c>
      <c r="D49" t="n">
        <v>10.4</v>
      </c>
      <c r="E49" s="1" t="n">
        <v>46108</v>
      </c>
      <c r="F49" t="inlineStr">
        <is>
          <t>https://www.espn.com/college-football/story/_/id/48306284/2026-college-football-sp+-rankings-138-fbs-teams</t>
        </is>
      </c>
      <c r="G49">
        <f>IF($D49="","",$D49-AVERAGE($D$6:$D$143))</f>
        <v/>
      </c>
      <c r="H49" t="n">
        <v>5.1</v>
      </c>
      <c r="I49" s="1" t="n">
        <v>46222</v>
      </c>
      <c r="J49" t="inlineStr">
        <is>
          <t>https://www.espn.com/college-football/fpi</t>
        </is>
      </c>
      <c r="K49">
        <f>IF($H49="","",$H49-AVERAGE($H$6:$H$143))</f>
        <v/>
      </c>
      <c r="M49">
        <f>IF($L49="","",IF($C49="FBS-RECLASSIFYING",IF($L49&lt;0,$L49,$L49*(1-SETTINGS!$B$16)),$L49*(1-SETTINGS!$B$15)))</f>
        <v/>
      </c>
      <c r="P49">
        <f>IF($M49="","",$M49-AVERAGE($M$6:$M$143))</f>
        <v/>
      </c>
      <c r="Q49" t="n">
        <v>10.2</v>
      </c>
      <c r="R49" s="1" t="n">
        <v>46222</v>
      </c>
      <c r="S49" t="inlineStr">
        <is>
          <t>https://www.teamrankings.com/college-football/ranking/predictive-by-other</t>
        </is>
      </c>
      <c r="T49">
        <f>IF($Q49="","",$Q49-AVERAGE($Q$6:$Q$143))</f>
        <v/>
      </c>
      <c r="X49">
        <f>IF($U49="","",$U49-AVERAGE($U$6:$U$143))</f>
        <v/>
      </c>
      <c r="Y49">
        <f>IF($A49="","",SETTINGS!$B$28*ISNUMBER($G49)+SETTINGS!$B$29*ISNUMBER($K49)+SETTINGS!$B$30*ISNUMBER($P49)+SETTINGS!$B$31*ISNUMBER($T49)+SETTINGS!$B$32*ISNUMBER($X49))</f>
        <v/>
      </c>
      <c r="Z49">
        <f>IF($A49="","",IF($Y49=0,"",(SETTINGS!$B$28*IF(ISNUMBER($G49),$G49,0)+SETTINGS!$B$29*IF(ISNUMBER($K49),$K49,0)+SETTINGS!$B$30*IF(ISNUMBER($P49),$P49,0)+SETTINGS!$B$31*IF(ISNUMBER($T49),$T49,0)+SETTINGS!$B$32*IF(ISNUMBER($X49),$X49,0))/$Y49))</f>
        <v/>
      </c>
      <c r="AA49">
        <f>IF($A49="","",COUNT($D49,$H49,$L49,$Q49,$U49))</f>
        <v/>
      </c>
      <c r="AB49">
        <f>IF($A49="","",IF($AA49&lt;=1,"SINGLE-SOURCE / LOW CONFIDENCE",""))</f>
        <v/>
      </c>
      <c r="AC49">
        <f>IF($A49="","",IF(AND($C49="FBS-RECLASSIFYING",ISNUMBER($L49),$L49&lt;0),"NO-AUTO-UPGRADE GUARD APPLIED",""))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MAP'!$D50)</f>
        <v/>
      </c>
      <c r="D50" t="n">
        <v>7.1</v>
      </c>
      <c r="E50" s="1" t="n">
        <v>46108</v>
      </c>
      <c r="F50" t="inlineStr">
        <is>
          <t>https://www.espn.com/college-football/story/_/id/48306284/2026-college-football-sp+-rankings-138-fbs-teams</t>
        </is>
      </c>
      <c r="G50">
        <f>IF($D50="","",$D50-AVERAGE($D$6:$D$143))</f>
        <v/>
      </c>
      <c r="H50" t="n">
        <v>3.3</v>
      </c>
      <c r="I50" s="1" t="n">
        <v>46222</v>
      </c>
      <c r="J50" t="inlineStr">
        <is>
          <t>https://www.espn.com/college-football/fpi</t>
        </is>
      </c>
      <c r="K50">
        <f>IF($H50="","",$H50-AVERAGE($H$6:$H$143))</f>
        <v/>
      </c>
      <c r="M50">
        <f>IF($L50="","",IF($C50="FBS-RECLASSIFYING",IF($L50&lt;0,$L50,$L50*(1-SETTINGS!$B$16)),$L50*(1-SETTINGS!$B$15)))</f>
        <v/>
      </c>
      <c r="P50">
        <f>IF($M50="","",$M50-AVERAGE($M$6:$M$143))</f>
        <v/>
      </c>
      <c r="Q50" t="n">
        <v>6.7</v>
      </c>
      <c r="R50" s="1" t="n">
        <v>46222</v>
      </c>
      <c r="S50" t="inlineStr">
        <is>
          <t>https://www.teamrankings.com/college-football/ranking/predictive-by-other</t>
        </is>
      </c>
      <c r="T50">
        <f>IF($Q50="","",$Q50-AVERAGE($Q$6:$Q$143))</f>
        <v/>
      </c>
      <c r="X50">
        <f>IF($U50="","",$U50-AVERAGE($U$6:$U$143))</f>
        <v/>
      </c>
      <c r="Y50">
        <f>IF($A50="","",SETTINGS!$B$28*ISNUMBER($G50)+SETTINGS!$B$29*ISNUMBER($K50)+SETTINGS!$B$30*ISNUMBER($P50)+SETTINGS!$B$31*ISNUMBER($T50)+SETTINGS!$B$32*ISNUMBER($X50))</f>
        <v/>
      </c>
      <c r="Z50">
        <f>IF($A50="","",IF($Y50=0,"",(SETTINGS!$B$28*IF(ISNUMBER($G50),$G50,0)+SETTINGS!$B$29*IF(ISNUMBER($K50),$K50,0)+SETTINGS!$B$30*IF(ISNUMBER($P50),$P50,0)+SETTINGS!$B$31*IF(ISNUMBER($T50),$T50,0)+SETTINGS!$B$32*IF(ISNUMBER($X50),$X50,0))/$Y50))</f>
        <v/>
      </c>
      <c r="AA50">
        <f>IF($A50="","",COUNT($D50,$H50,$L50,$Q50,$U50))</f>
        <v/>
      </c>
      <c r="AB50">
        <f>IF($A50="","",IF($AA50&lt;=1,"SINGLE-SOURCE / LOW CONFIDENCE",""))</f>
        <v/>
      </c>
      <c r="AC50">
        <f>IF($A50="","",IF(AND($C50="FBS-RECLASSIFYING",ISNUMBER($L50),$L50&lt;0),"NO-AUTO-UPGRADE GUARD APPLIED",""))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MAP'!$D51)</f>
        <v/>
      </c>
      <c r="D51" t="n">
        <v>9.1</v>
      </c>
      <c r="E51" s="1" t="n">
        <v>46108</v>
      </c>
      <c r="F51" t="inlineStr">
        <is>
          <t>https://www.espn.com/college-football/story/_/id/48306284/2026-college-football-sp+-rankings-138-fbs-teams</t>
        </is>
      </c>
      <c r="G51">
        <f>IF($D51="","",$D51-AVERAGE($D$6:$D$143))</f>
        <v/>
      </c>
      <c r="H51" t="n">
        <v>6.4</v>
      </c>
      <c r="I51" s="1" t="n">
        <v>46222</v>
      </c>
      <c r="J51" t="inlineStr">
        <is>
          <t>https://www.espn.com/college-football/fpi</t>
        </is>
      </c>
      <c r="K51">
        <f>IF($H51="","",$H51-AVERAGE($H$6:$H$143))</f>
        <v/>
      </c>
      <c r="M51">
        <f>IF($L51="","",IF($C51="FBS-RECLASSIFYING",IF($L51&lt;0,$L51,$L51*(1-SETTINGS!$B$16)),$L51*(1-SETTINGS!$B$15)))</f>
        <v/>
      </c>
      <c r="P51">
        <f>IF($M51="","",$M51-AVERAGE($M$6:$M$143))</f>
        <v/>
      </c>
      <c r="Q51" t="n">
        <v>8.4</v>
      </c>
      <c r="R51" s="1" t="n">
        <v>46222</v>
      </c>
      <c r="S51" t="inlineStr">
        <is>
          <t>https://www.teamrankings.com/college-football/ranking/predictive-by-other</t>
        </is>
      </c>
      <c r="T51">
        <f>IF($Q51="","",$Q51-AVERAGE($Q$6:$Q$143))</f>
        <v/>
      </c>
      <c r="X51">
        <f>IF($U51="","",$U51-AVERAGE($U$6:$U$143))</f>
        <v/>
      </c>
      <c r="Y51">
        <f>IF($A51="","",SETTINGS!$B$28*ISNUMBER($G51)+SETTINGS!$B$29*ISNUMBER($K51)+SETTINGS!$B$30*ISNUMBER($P51)+SETTINGS!$B$31*ISNUMBER($T51)+SETTINGS!$B$32*ISNUMBER($X51))</f>
        <v/>
      </c>
      <c r="Z51">
        <f>IF($A51="","",IF($Y51=0,"",(SETTINGS!$B$28*IF(ISNUMBER($G51),$G51,0)+SETTINGS!$B$29*IF(ISNUMBER($K51),$K51,0)+SETTINGS!$B$30*IF(ISNUMBER($P51),$P51,0)+SETTINGS!$B$31*IF(ISNUMBER($T51),$T51,0)+SETTINGS!$B$32*IF(ISNUMBER($X51),$X51,0))/$Y51))</f>
        <v/>
      </c>
      <c r="AA51">
        <f>IF($A51="","",COUNT($D51,$H51,$L51,$Q51,$U51))</f>
        <v/>
      </c>
      <c r="AB51">
        <f>IF($A51="","",IF($AA51&lt;=1,"SINGLE-SOURCE / LOW CONFIDENCE",""))</f>
        <v/>
      </c>
      <c r="AC51">
        <f>IF($A51="","",IF(AND($C51="FBS-RECLASSIFYING",ISNUMBER($L51),$L51&lt;0),"NO-AUTO-UPGRADE GUARD APPLIED",""))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MAP'!$D52)</f>
        <v/>
      </c>
      <c r="D52" t="n">
        <v>23.1</v>
      </c>
      <c r="E52" s="1" t="n">
        <v>46108</v>
      </c>
      <c r="F52" t="inlineStr">
        <is>
          <t>https://www.espn.com/college-football/story/_/id/48306284/2026-college-football-sp+-rankings-138-fbs-teams</t>
        </is>
      </c>
      <c r="G52">
        <f>IF($D52="","",$D52-AVERAGE($D$6:$D$143))</f>
        <v/>
      </c>
      <c r="H52" t="n">
        <v>20</v>
      </c>
      <c r="I52" s="1" t="n">
        <v>46222</v>
      </c>
      <c r="J52" t="inlineStr">
        <is>
          <t>https://www.espn.com/college-football/fpi</t>
        </is>
      </c>
      <c r="K52">
        <f>IF($H52="","",$H52-AVERAGE($H$6:$H$143))</f>
        <v/>
      </c>
      <c r="M52">
        <f>IF($L52="","",IF($C52="FBS-RECLASSIFYING",IF($L52&lt;0,$L52,$L52*(1-SETTINGS!$B$16)),$L52*(1-SETTINGS!$B$15)))</f>
        <v/>
      </c>
      <c r="P52">
        <f>IF($M52="","",$M52-AVERAGE($M$6:$M$143))</f>
        <v/>
      </c>
      <c r="Q52" t="n">
        <v>23.8</v>
      </c>
      <c r="R52" s="1" t="n">
        <v>46222</v>
      </c>
      <c r="S52" t="inlineStr">
        <is>
          <t>https://www.teamrankings.com/college-football/ranking/predictive-by-other</t>
        </is>
      </c>
      <c r="T52">
        <f>IF($Q52="","",$Q52-AVERAGE($Q$6:$Q$143))</f>
        <v/>
      </c>
      <c r="X52">
        <f>IF($U52="","",$U52-AVERAGE($U$6:$U$143))</f>
        <v/>
      </c>
      <c r="Y52">
        <f>IF($A52="","",SETTINGS!$B$28*ISNUMBER($G52)+SETTINGS!$B$29*ISNUMBER($K52)+SETTINGS!$B$30*ISNUMBER($P52)+SETTINGS!$B$31*ISNUMBER($T52)+SETTINGS!$B$32*ISNUMBER($X52))</f>
        <v/>
      </c>
      <c r="Z52">
        <f>IF($A52="","",IF($Y52=0,"",(SETTINGS!$B$28*IF(ISNUMBER($G52),$G52,0)+SETTINGS!$B$29*IF(ISNUMBER($K52),$K52,0)+SETTINGS!$B$30*IF(ISNUMBER($P52),$P52,0)+SETTINGS!$B$31*IF(ISNUMBER($T52),$T52,0)+SETTINGS!$B$32*IF(ISNUMBER($X52),$X52,0))/$Y52))</f>
        <v/>
      </c>
      <c r="AA52">
        <f>IF($A52="","",COUNT($D52,$H52,$L52,$Q52,$U52))</f>
        <v/>
      </c>
      <c r="AB52">
        <f>IF($A52="","",IF($AA52&lt;=1,"SINGLE-SOURCE / LOW CONFIDENCE",""))</f>
        <v/>
      </c>
      <c r="AC52">
        <f>IF($A52="","",IF(AND($C52="FBS-RECLASSIFYING",ISNUMBER($L52),$L52&lt;0),"NO-AUTO-UPGRADE GUARD APPLIED",""))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MAP'!$D53)</f>
        <v/>
      </c>
      <c r="D53" t="n">
        <v>2.3</v>
      </c>
      <c r="E53" s="1" t="n">
        <v>46108</v>
      </c>
      <c r="F53" t="inlineStr">
        <is>
          <t>https://www.espn.com/college-football/story/_/id/48306284/2026-college-football-sp+-rankings-138-fbs-teams</t>
        </is>
      </c>
      <c r="G53">
        <f>IF($D53="","",$D53-AVERAGE($D$6:$D$143))</f>
        <v/>
      </c>
      <c r="H53" t="n">
        <v>2.1</v>
      </c>
      <c r="I53" s="1" t="n">
        <v>46222</v>
      </c>
      <c r="J53" t="inlineStr">
        <is>
          <t>https://www.espn.com/college-football/fpi</t>
        </is>
      </c>
      <c r="K53">
        <f>IF($H53="","",$H53-AVERAGE($H$6:$H$143))</f>
        <v/>
      </c>
      <c r="M53">
        <f>IF($L53="","",IF($C53="FBS-RECLASSIFYING",IF($L53&lt;0,$L53,$L53*(1-SETTINGS!$B$16)),$L53*(1-SETTINGS!$B$15)))</f>
        <v/>
      </c>
      <c r="P53">
        <f>IF($M53="","",$M53-AVERAGE($M$6:$M$143))</f>
        <v/>
      </c>
      <c r="Q53" t="n">
        <v>3.3</v>
      </c>
      <c r="R53" s="1" t="n">
        <v>46222</v>
      </c>
      <c r="S53" t="inlineStr">
        <is>
          <t>https://www.teamrankings.com/college-football/ranking/predictive-by-other</t>
        </is>
      </c>
      <c r="T53">
        <f>IF($Q53="","",$Q53-AVERAGE($Q$6:$Q$143))</f>
        <v/>
      </c>
      <c r="X53">
        <f>IF($U53="","",$U53-AVERAGE($U$6:$U$143))</f>
        <v/>
      </c>
      <c r="Y53">
        <f>IF($A53="","",SETTINGS!$B$28*ISNUMBER($G53)+SETTINGS!$B$29*ISNUMBER($K53)+SETTINGS!$B$30*ISNUMBER($P53)+SETTINGS!$B$31*ISNUMBER($T53)+SETTINGS!$B$32*ISNUMBER($X53))</f>
        <v/>
      </c>
      <c r="Z53">
        <f>IF($A53="","",IF($Y53=0,"",(SETTINGS!$B$28*IF(ISNUMBER($G53),$G53,0)+SETTINGS!$B$29*IF(ISNUMBER($K53),$K53,0)+SETTINGS!$B$30*IF(ISNUMBER($P53),$P53,0)+SETTINGS!$B$31*IF(ISNUMBER($T53),$T53,0)+SETTINGS!$B$32*IF(ISNUMBER($X53),$X53,0))/$Y53))</f>
        <v/>
      </c>
      <c r="AA53">
        <f>IF($A53="","",COUNT($D53,$H53,$L53,$Q53,$U53))</f>
        <v/>
      </c>
      <c r="AB53">
        <f>IF($A53="","",IF($AA53&lt;=1,"SINGLE-SOURCE / LOW CONFIDENCE",""))</f>
        <v/>
      </c>
      <c r="AC53">
        <f>IF($A53="","",IF(AND($C53="FBS-RECLASSIFYING",ISNUMBER($L53),$L53&lt;0),"NO-AUTO-UPGRADE GUARD APPLIED",""))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MAP'!$D54)</f>
        <v/>
      </c>
      <c r="D54" t="n">
        <v>11.9</v>
      </c>
      <c r="E54" s="1" t="n">
        <v>46108</v>
      </c>
      <c r="F54" t="inlineStr">
        <is>
          <t>https://www.espn.com/college-football/story/_/id/48306284/2026-college-football-sp+-rankings-138-fbs-teams</t>
        </is>
      </c>
      <c r="G54">
        <f>IF($D54="","",$D54-AVERAGE($D$6:$D$143))</f>
        <v/>
      </c>
      <c r="H54" t="n">
        <v>8.5</v>
      </c>
      <c r="I54" s="1" t="n">
        <v>46222</v>
      </c>
      <c r="J54" t="inlineStr">
        <is>
          <t>https://www.espn.com/college-football/fpi</t>
        </is>
      </c>
      <c r="K54">
        <f>IF($H54="","",$H54-AVERAGE($H$6:$H$143))</f>
        <v/>
      </c>
      <c r="M54">
        <f>IF($L54="","",IF($C54="FBS-RECLASSIFYING",IF($L54&lt;0,$L54,$L54*(1-SETTINGS!$B$16)),$L54*(1-SETTINGS!$B$15)))</f>
        <v/>
      </c>
      <c r="P54">
        <f>IF($M54="","",$M54-AVERAGE($M$6:$M$143))</f>
        <v/>
      </c>
      <c r="Q54" t="n">
        <v>12.8</v>
      </c>
      <c r="R54" s="1" t="n">
        <v>46222</v>
      </c>
      <c r="S54" t="inlineStr">
        <is>
          <t>https://www.teamrankings.com/college-football/ranking/predictive-by-other</t>
        </is>
      </c>
      <c r="T54">
        <f>IF($Q54="","",$Q54-AVERAGE($Q$6:$Q$143))</f>
        <v/>
      </c>
      <c r="X54">
        <f>IF($U54="","",$U54-AVERAGE($U$6:$U$143))</f>
        <v/>
      </c>
      <c r="Y54">
        <f>IF($A54="","",SETTINGS!$B$28*ISNUMBER($G54)+SETTINGS!$B$29*ISNUMBER($K54)+SETTINGS!$B$30*ISNUMBER($P54)+SETTINGS!$B$31*ISNUMBER($T54)+SETTINGS!$B$32*ISNUMBER($X54))</f>
        <v/>
      </c>
      <c r="Z54">
        <f>IF($A54="","",IF($Y54=0,"",(SETTINGS!$B$28*IF(ISNUMBER($G54),$G54,0)+SETTINGS!$B$29*IF(ISNUMBER($K54),$K54,0)+SETTINGS!$B$30*IF(ISNUMBER($P54),$P54,0)+SETTINGS!$B$31*IF(ISNUMBER($T54),$T54,0)+SETTINGS!$B$32*IF(ISNUMBER($X54),$X54,0))/$Y54))</f>
        <v/>
      </c>
      <c r="AA54">
        <f>IF($A54="","",COUNT($D54,$H54,$L54,$Q54,$U54))</f>
        <v/>
      </c>
      <c r="AB54">
        <f>IF($A54="","",IF($AA54&lt;=1,"SINGLE-SOURCE / LOW CONFIDENCE",""))</f>
        <v/>
      </c>
      <c r="AC54">
        <f>IF($A54="","",IF(AND($C54="FBS-RECLASSIFYING",ISNUMBER($L54),$L54&lt;0),"NO-AUTO-UPGRADE GUARD APPLIED",""))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MAP'!$D55)</f>
        <v/>
      </c>
      <c r="D55" t="n">
        <v>0.8</v>
      </c>
      <c r="E55" s="1" t="n">
        <v>46108</v>
      </c>
      <c r="F55" t="inlineStr">
        <is>
          <t>https://www.espn.com/college-football/story/_/id/48306284/2026-college-football-sp+-rankings-138-fbs-teams</t>
        </is>
      </c>
      <c r="G55">
        <f>IF($D55="","",$D55-AVERAGE($D$6:$D$143))</f>
        <v/>
      </c>
      <c r="H55" t="n">
        <v>0.2</v>
      </c>
      <c r="I55" s="1" t="n">
        <v>46222</v>
      </c>
      <c r="J55" t="inlineStr">
        <is>
          <t>https://www.espn.com/college-football/fpi</t>
        </is>
      </c>
      <c r="K55">
        <f>IF($H55="","",$H55-AVERAGE($H$6:$H$143))</f>
        <v/>
      </c>
      <c r="M55">
        <f>IF($L55="","",IF($C55="FBS-RECLASSIFYING",IF($L55&lt;0,$L55,$L55*(1-SETTINGS!$B$16)),$L55*(1-SETTINGS!$B$15)))</f>
        <v/>
      </c>
      <c r="P55">
        <f>IF($M55="","",$M55-AVERAGE($M$6:$M$143))</f>
        <v/>
      </c>
      <c r="Q55" t="n">
        <v>4.5</v>
      </c>
      <c r="R55" s="1" t="n">
        <v>46222</v>
      </c>
      <c r="S55" t="inlineStr">
        <is>
          <t>https://www.teamrankings.com/college-football/ranking/predictive-by-other</t>
        </is>
      </c>
      <c r="T55">
        <f>IF($Q55="","",$Q55-AVERAGE($Q$6:$Q$143))</f>
        <v/>
      </c>
      <c r="X55">
        <f>IF($U55="","",$U55-AVERAGE($U$6:$U$143))</f>
        <v/>
      </c>
      <c r="Y55">
        <f>IF($A55="","",SETTINGS!$B$28*ISNUMBER($G55)+SETTINGS!$B$29*ISNUMBER($K55)+SETTINGS!$B$30*ISNUMBER($P55)+SETTINGS!$B$31*ISNUMBER($T55)+SETTINGS!$B$32*ISNUMBER($X55))</f>
        <v/>
      </c>
      <c r="Z55">
        <f>IF($A55="","",IF($Y55=0,"",(SETTINGS!$B$28*IF(ISNUMBER($G55),$G55,0)+SETTINGS!$B$29*IF(ISNUMBER($K55),$K55,0)+SETTINGS!$B$30*IF(ISNUMBER($P55),$P55,0)+SETTINGS!$B$31*IF(ISNUMBER($T55),$T55,0)+SETTINGS!$B$32*IF(ISNUMBER($X55),$X55,0))/$Y55))</f>
        <v/>
      </c>
      <c r="AA55">
        <f>IF($A55="","",COUNT($D55,$H55,$L55,$Q55,$U55))</f>
        <v/>
      </c>
      <c r="AB55">
        <f>IF($A55="","",IF($AA55&lt;=1,"SINGLE-SOURCE / LOW CONFIDENCE",""))</f>
        <v/>
      </c>
      <c r="AC55">
        <f>IF($A55="","",IF(AND($C55="FBS-RECLASSIFYING",ISNUMBER($L55),$L55&lt;0),"NO-AUTO-UPGRADE GUARD APPLIED",""))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MAP'!$D56)</f>
        <v/>
      </c>
      <c r="D56" t="n">
        <v>-1.5</v>
      </c>
      <c r="E56" s="1" t="n">
        <v>46108</v>
      </c>
      <c r="F56" t="inlineStr">
        <is>
          <t>https://www.espn.com/college-football/story/_/id/48306284/2026-college-football-sp+-rankings-138-fbs-teams</t>
        </is>
      </c>
      <c r="G56">
        <f>IF($D56="","",$D56-AVERAGE($D$6:$D$143))</f>
        <v/>
      </c>
      <c r="H56" t="n">
        <v>-2.7</v>
      </c>
      <c r="I56" s="1" t="n">
        <v>46222</v>
      </c>
      <c r="J56" t="inlineStr">
        <is>
          <t>https://www.espn.com/college-football/fpi</t>
        </is>
      </c>
      <c r="K56">
        <f>IF($H56="","",$H56-AVERAGE($H$6:$H$143))</f>
        <v/>
      </c>
      <c r="M56">
        <f>IF($L56="","",IF($C56="FBS-RECLASSIFYING",IF($L56&lt;0,$L56,$L56*(1-SETTINGS!$B$16)),$L56*(1-SETTINGS!$B$15)))</f>
        <v/>
      </c>
      <c r="P56">
        <f>IF($M56="","",$M56-AVERAGE($M$6:$M$143))</f>
        <v/>
      </c>
      <c r="Q56" t="n">
        <v>-6.2</v>
      </c>
      <c r="R56" s="1" t="n">
        <v>46222</v>
      </c>
      <c r="S56" t="inlineStr">
        <is>
          <t>https://www.teamrankings.com/college-football/ranking/predictive-by-other</t>
        </is>
      </c>
      <c r="T56">
        <f>IF($Q56="","",$Q56-AVERAGE($Q$6:$Q$143))</f>
        <v/>
      </c>
      <c r="X56">
        <f>IF($U56="","",$U56-AVERAGE($U$6:$U$143))</f>
        <v/>
      </c>
      <c r="Y56">
        <f>IF($A56="","",SETTINGS!$B$28*ISNUMBER($G56)+SETTINGS!$B$29*ISNUMBER($K56)+SETTINGS!$B$30*ISNUMBER($P56)+SETTINGS!$B$31*ISNUMBER($T56)+SETTINGS!$B$32*ISNUMBER($X56))</f>
        <v/>
      </c>
      <c r="Z56">
        <f>IF($A56="","",IF($Y56=0,"",(SETTINGS!$B$28*IF(ISNUMBER($G56),$G56,0)+SETTINGS!$B$29*IF(ISNUMBER($K56),$K56,0)+SETTINGS!$B$30*IF(ISNUMBER($P56),$P56,0)+SETTINGS!$B$31*IF(ISNUMBER($T56),$T56,0)+SETTINGS!$B$32*IF(ISNUMBER($X56),$X56,0))/$Y56))</f>
        <v/>
      </c>
      <c r="AA56">
        <f>IF($A56="","",COUNT($D56,$H56,$L56,$Q56,$U56))</f>
        <v/>
      </c>
      <c r="AB56">
        <f>IF($A56="","",IF($AA56&lt;=1,"SINGLE-SOURCE / LOW CONFIDENCE",""))</f>
        <v/>
      </c>
      <c r="AC56">
        <f>IF($A56="","",IF(AND($C56="FBS-RECLASSIFYING",ISNUMBER($L56),$L56&lt;0),"NO-AUTO-UPGRADE GUARD APPLIED",""))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MAP'!$D57)</f>
        <v/>
      </c>
      <c r="D57" t="n">
        <v>3.7</v>
      </c>
      <c r="E57" s="1" t="n">
        <v>46108</v>
      </c>
      <c r="F57" t="inlineStr">
        <is>
          <t>https://www.espn.com/college-football/story/_/id/48306284/2026-college-football-sp+-rankings-138-fbs-teams</t>
        </is>
      </c>
      <c r="G57">
        <f>IF($D57="","",$D57-AVERAGE($D$6:$D$143))</f>
        <v/>
      </c>
      <c r="H57" t="n">
        <v>0.9</v>
      </c>
      <c r="I57" s="1" t="n">
        <v>46222</v>
      </c>
      <c r="J57" t="inlineStr">
        <is>
          <t>https://www.espn.com/college-football/fpi</t>
        </is>
      </c>
      <c r="K57">
        <f>IF($H57="","",$H57-AVERAGE($H$6:$H$143))</f>
        <v/>
      </c>
      <c r="M57">
        <f>IF($L57="","",IF($C57="FBS-RECLASSIFYING",IF($L57&lt;0,$L57,$L57*(1-SETTINGS!$B$16)),$L57*(1-SETTINGS!$B$15)))</f>
        <v/>
      </c>
      <c r="P57">
        <f>IF($M57="","",$M57-AVERAGE($M$6:$M$143))</f>
        <v/>
      </c>
      <c r="Q57" t="n">
        <v>4</v>
      </c>
      <c r="R57" s="1" t="n">
        <v>46222</v>
      </c>
      <c r="S57" t="inlineStr">
        <is>
          <t>https://www.teamrankings.com/college-football/ranking/predictive-by-other</t>
        </is>
      </c>
      <c r="T57">
        <f>IF($Q57="","",$Q57-AVERAGE($Q$6:$Q$143))</f>
        <v/>
      </c>
      <c r="X57">
        <f>IF($U57="","",$U57-AVERAGE($U$6:$U$143))</f>
        <v/>
      </c>
      <c r="Y57">
        <f>IF($A57="","",SETTINGS!$B$28*ISNUMBER($G57)+SETTINGS!$B$29*ISNUMBER($K57)+SETTINGS!$B$30*ISNUMBER($P57)+SETTINGS!$B$31*ISNUMBER($T57)+SETTINGS!$B$32*ISNUMBER($X57))</f>
        <v/>
      </c>
      <c r="Z57">
        <f>IF($A57="","",IF($Y57=0,"",(SETTINGS!$B$28*IF(ISNUMBER($G57),$G57,0)+SETTINGS!$B$29*IF(ISNUMBER($K57),$K57,0)+SETTINGS!$B$30*IF(ISNUMBER($P57),$P57,0)+SETTINGS!$B$31*IF(ISNUMBER($T57),$T57,0)+SETTINGS!$B$32*IF(ISNUMBER($X57),$X57,0))/$Y57))</f>
        <v/>
      </c>
      <c r="AA57">
        <f>IF($A57="","",COUNT($D57,$H57,$L57,$Q57,$U57))</f>
        <v/>
      </c>
      <c r="AB57">
        <f>IF($A57="","",IF($AA57&lt;=1,"SINGLE-SOURCE / LOW CONFIDENCE",""))</f>
        <v/>
      </c>
      <c r="AC57">
        <f>IF($A57="","",IF(AND($C57="FBS-RECLASSIFYING",ISNUMBER($L57),$L57&lt;0),"NO-AUTO-UPGRADE GUARD APPLIED",""))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MAP'!$D58)</f>
        <v/>
      </c>
      <c r="D58" t="n">
        <v>12.8</v>
      </c>
      <c r="E58" s="1" t="n">
        <v>46108</v>
      </c>
      <c r="F58" t="inlineStr">
        <is>
          <t>https://www.espn.com/college-football/story/_/id/48306284/2026-college-football-sp+-rankings-138-fbs-teams</t>
        </is>
      </c>
      <c r="G58">
        <f>IF($D58="","",$D58-AVERAGE($D$6:$D$143))</f>
        <v/>
      </c>
      <c r="H58" t="n">
        <v>13.4</v>
      </c>
      <c r="I58" s="1" t="n">
        <v>46222</v>
      </c>
      <c r="J58" t="inlineStr">
        <is>
          <t>https://www.espn.com/college-football/fpi</t>
        </is>
      </c>
      <c r="K58">
        <f>IF($H58="","",$H58-AVERAGE($H$6:$H$143))</f>
        <v/>
      </c>
      <c r="M58">
        <f>IF($L58="","",IF($C58="FBS-RECLASSIFYING",IF($L58&lt;0,$L58,$L58*(1-SETTINGS!$B$16)),$L58*(1-SETTINGS!$B$15)))</f>
        <v/>
      </c>
      <c r="P58">
        <f>IF($M58="","",$M58-AVERAGE($M$6:$M$143))</f>
        <v/>
      </c>
      <c r="Q58" t="n">
        <v>11.6</v>
      </c>
      <c r="R58" s="1" t="n">
        <v>46222</v>
      </c>
      <c r="S58" t="inlineStr">
        <is>
          <t>https://www.teamrankings.com/college-football/ranking/predictive-by-other</t>
        </is>
      </c>
      <c r="T58">
        <f>IF($Q58="","",$Q58-AVERAGE($Q$6:$Q$143))</f>
        <v/>
      </c>
      <c r="X58">
        <f>IF($U58="","",$U58-AVERAGE($U$6:$U$143))</f>
        <v/>
      </c>
      <c r="Y58">
        <f>IF($A58="","",SETTINGS!$B$28*ISNUMBER($G58)+SETTINGS!$B$29*ISNUMBER($K58)+SETTINGS!$B$30*ISNUMBER($P58)+SETTINGS!$B$31*ISNUMBER($T58)+SETTINGS!$B$32*ISNUMBER($X58))</f>
        <v/>
      </c>
      <c r="Z58">
        <f>IF($A58="","",IF($Y58=0,"",(SETTINGS!$B$28*IF(ISNUMBER($G58),$G58,0)+SETTINGS!$B$29*IF(ISNUMBER($K58),$K58,0)+SETTINGS!$B$30*IF(ISNUMBER($P58),$P58,0)+SETTINGS!$B$31*IF(ISNUMBER($T58),$T58,0)+SETTINGS!$B$32*IF(ISNUMBER($X58),$X58,0))/$Y58))</f>
        <v/>
      </c>
      <c r="AA58">
        <f>IF($A58="","",COUNT($D58,$H58,$L58,$Q58,$U58))</f>
        <v/>
      </c>
      <c r="AB58">
        <f>IF($A58="","",IF($AA58&lt;=1,"SINGLE-SOURCE / LOW CONFIDENCE",""))</f>
        <v/>
      </c>
      <c r="AC58">
        <f>IF($A58="","",IF(AND($C58="FBS-RECLASSIFYING",ISNUMBER($L58),$L58&lt;0),"NO-AUTO-UPGRADE GUARD APPLIED",""))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MAP'!$D59)</f>
        <v/>
      </c>
      <c r="D59" t="n">
        <v>5.7</v>
      </c>
      <c r="E59" s="1" t="n">
        <v>46108</v>
      </c>
      <c r="F59" t="inlineStr">
        <is>
          <t>https://www.espn.com/college-football/story/_/id/48306284/2026-college-football-sp+-rankings-138-fbs-teams</t>
        </is>
      </c>
      <c r="G59">
        <f>IF($D59="","",$D59-AVERAGE($D$6:$D$143))</f>
        <v/>
      </c>
      <c r="H59" t="n">
        <v>3.5</v>
      </c>
      <c r="I59" s="1" t="n">
        <v>46222</v>
      </c>
      <c r="J59" t="inlineStr">
        <is>
          <t>https://www.espn.com/college-football/fpi</t>
        </is>
      </c>
      <c r="K59">
        <f>IF($H59="","",$H59-AVERAGE($H$6:$H$143))</f>
        <v/>
      </c>
      <c r="M59">
        <f>IF($L59="","",IF($C59="FBS-RECLASSIFYING",IF($L59&lt;0,$L59,$L59*(1-SETTINGS!$B$16)),$L59*(1-SETTINGS!$B$15)))</f>
        <v/>
      </c>
      <c r="P59">
        <f>IF($M59="","",$M59-AVERAGE($M$6:$M$143))</f>
        <v/>
      </c>
      <c r="Q59" t="n">
        <v>1.9</v>
      </c>
      <c r="R59" s="1" t="n">
        <v>46222</v>
      </c>
      <c r="S59" t="inlineStr">
        <is>
          <t>https://www.teamrankings.com/college-football/ranking/predictive-by-other</t>
        </is>
      </c>
      <c r="T59">
        <f>IF($Q59="","",$Q59-AVERAGE($Q$6:$Q$143))</f>
        <v/>
      </c>
      <c r="X59">
        <f>IF($U59="","",$U59-AVERAGE($U$6:$U$143))</f>
        <v/>
      </c>
      <c r="Y59">
        <f>IF($A59="","",SETTINGS!$B$28*ISNUMBER($G59)+SETTINGS!$B$29*ISNUMBER($K59)+SETTINGS!$B$30*ISNUMBER($P59)+SETTINGS!$B$31*ISNUMBER($T59)+SETTINGS!$B$32*ISNUMBER($X59))</f>
        <v/>
      </c>
      <c r="Z59">
        <f>IF($A59="","",IF($Y59=0,"",(SETTINGS!$B$28*IF(ISNUMBER($G59),$G59,0)+SETTINGS!$B$29*IF(ISNUMBER($K59),$K59,0)+SETTINGS!$B$30*IF(ISNUMBER($P59),$P59,0)+SETTINGS!$B$31*IF(ISNUMBER($T59),$T59,0)+SETTINGS!$B$32*IF(ISNUMBER($X59),$X59,0))/$Y59))</f>
        <v/>
      </c>
      <c r="AA59">
        <f>IF($A59="","",COUNT($D59,$H59,$L59,$Q59,$U59))</f>
        <v/>
      </c>
      <c r="AB59">
        <f>IF($A59="","",IF($AA59&lt;=1,"SINGLE-SOURCE / LOW CONFIDENCE",""))</f>
        <v/>
      </c>
      <c r="AC59">
        <f>IF($A59="","",IF(AND($C59="FBS-RECLASSIFYING",ISNUMBER($L59),$L59&lt;0),"NO-AUTO-UPGRADE GUARD APPLIED",""))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MAP'!$D60)</f>
        <v/>
      </c>
      <c r="D60" t="n">
        <v>8.800000000000001</v>
      </c>
      <c r="E60" s="1" t="n">
        <v>46108</v>
      </c>
      <c r="F60" t="inlineStr">
        <is>
          <t>https://www.espn.com/college-football/story/_/id/48306284/2026-college-football-sp+-rankings-138-fbs-teams</t>
        </is>
      </c>
      <c r="G60">
        <f>IF($D60="","",$D60-AVERAGE($D$6:$D$143))</f>
        <v/>
      </c>
      <c r="H60" t="n">
        <v>9.300000000000001</v>
      </c>
      <c r="I60" s="1" t="n">
        <v>46222</v>
      </c>
      <c r="J60" t="inlineStr">
        <is>
          <t>https://www.espn.com/college-football/fpi</t>
        </is>
      </c>
      <c r="K60">
        <f>IF($H60="","",$H60-AVERAGE($H$6:$H$143))</f>
        <v/>
      </c>
      <c r="M60">
        <f>IF($L60="","",IF($C60="FBS-RECLASSIFYING",IF($L60&lt;0,$L60,$L60*(1-SETTINGS!$B$16)),$L60*(1-SETTINGS!$B$15)))</f>
        <v/>
      </c>
      <c r="P60">
        <f>IF($M60="","",$M60-AVERAGE($M$6:$M$143))</f>
        <v/>
      </c>
      <c r="Q60" t="n">
        <v>7.3</v>
      </c>
      <c r="R60" s="1" t="n">
        <v>46222</v>
      </c>
      <c r="S60" t="inlineStr">
        <is>
          <t>https://www.teamrankings.com/college-football/ranking/predictive-by-other</t>
        </is>
      </c>
      <c r="T60">
        <f>IF($Q60="","",$Q60-AVERAGE($Q$6:$Q$143))</f>
        <v/>
      </c>
      <c r="X60">
        <f>IF($U60="","",$U60-AVERAGE($U$6:$U$143))</f>
        <v/>
      </c>
      <c r="Y60">
        <f>IF($A60="","",SETTINGS!$B$28*ISNUMBER($G60)+SETTINGS!$B$29*ISNUMBER($K60)+SETTINGS!$B$30*ISNUMBER($P60)+SETTINGS!$B$31*ISNUMBER($T60)+SETTINGS!$B$32*ISNUMBER($X60))</f>
        <v/>
      </c>
      <c r="Z60">
        <f>IF($A60="","",IF($Y60=0,"",(SETTINGS!$B$28*IF(ISNUMBER($G60),$G60,0)+SETTINGS!$B$29*IF(ISNUMBER($K60),$K60,0)+SETTINGS!$B$30*IF(ISNUMBER($P60),$P60,0)+SETTINGS!$B$31*IF(ISNUMBER($T60),$T60,0)+SETTINGS!$B$32*IF(ISNUMBER($X60),$X60,0))/$Y60))</f>
        <v/>
      </c>
      <c r="AA60">
        <f>IF($A60="","",COUNT($D60,$H60,$L60,$Q60,$U60))</f>
        <v/>
      </c>
      <c r="AB60">
        <f>IF($A60="","",IF($AA60&lt;=1,"SINGLE-SOURCE / LOW CONFIDENCE",""))</f>
        <v/>
      </c>
      <c r="AC60">
        <f>IF($A60="","",IF(AND($C60="FBS-RECLASSIFYING",ISNUMBER($L60),$L60&lt;0),"NO-AUTO-UPGRADE GUARD APPLIED",""))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MAP'!$D61)</f>
        <v/>
      </c>
      <c r="D61" t="n">
        <v>6</v>
      </c>
      <c r="E61" s="1" t="n">
        <v>46108</v>
      </c>
      <c r="F61" t="inlineStr">
        <is>
          <t>https://www.espn.com/college-football/story/_/id/48306284/2026-college-football-sp+-rankings-138-fbs-teams</t>
        </is>
      </c>
      <c r="G61">
        <f>IF($D61="","",$D61-AVERAGE($D$6:$D$143))</f>
        <v/>
      </c>
      <c r="H61" t="n">
        <v>4.2</v>
      </c>
      <c r="I61" s="1" t="n">
        <v>46222</v>
      </c>
      <c r="J61" t="inlineStr">
        <is>
          <t>https://www.espn.com/college-football/fpi</t>
        </is>
      </c>
      <c r="K61">
        <f>IF($H61="","",$H61-AVERAGE($H$6:$H$143))</f>
        <v/>
      </c>
      <c r="M61">
        <f>IF($L61="","",IF($C61="FBS-RECLASSIFYING",IF($L61&lt;0,$L61,$L61*(1-SETTINGS!$B$16)),$L61*(1-SETTINGS!$B$15)))</f>
        <v/>
      </c>
      <c r="P61">
        <f>IF($M61="","",$M61-AVERAGE($M$6:$M$143))</f>
        <v/>
      </c>
      <c r="Q61" t="n">
        <v>5.8</v>
      </c>
      <c r="R61" s="1" t="n">
        <v>46222</v>
      </c>
      <c r="S61" t="inlineStr">
        <is>
          <t>https://www.teamrankings.com/college-football/ranking/predictive-by-other</t>
        </is>
      </c>
      <c r="T61">
        <f>IF($Q61="","",$Q61-AVERAGE($Q$6:$Q$143))</f>
        <v/>
      </c>
      <c r="X61">
        <f>IF($U61="","",$U61-AVERAGE($U$6:$U$143))</f>
        <v/>
      </c>
      <c r="Y61">
        <f>IF($A61="","",SETTINGS!$B$28*ISNUMBER($G61)+SETTINGS!$B$29*ISNUMBER($K61)+SETTINGS!$B$30*ISNUMBER($P61)+SETTINGS!$B$31*ISNUMBER($T61)+SETTINGS!$B$32*ISNUMBER($X61))</f>
        <v/>
      </c>
      <c r="Z61">
        <f>IF($A61="","",IF($Y61=0,"",(SETTINGS!$B$28*IF(ISNUMBER($G61),$G61,0)+SETTINGS!$B$29*IF(ISNUMBER($K61),$K61,0)+SETTINGS!$B$30*IF(ISNUMBER($P61),$P61,0)+SETTINGS!$B$31*IF(ISNUMBER($T61),$T61,0)+SETTINGS!$B$32*IF(ISNUMBER($X61),$X61,0))/$Y61))</f>
        <v/>
      </c>
      <c r="AA61">
        <f>IF($A61="","",COUNT($D61,$H61,$L61,$Q61,$U61))</f>
        <v/>
      </c>
      <c r="AB61">
        <f>IF($A61="","",IF($AA61&lt;=1,"SINGLE-SOURCE / LOW CONFIDENCE",""))</f>
        <v/>
      </c>
      <c r="AC61">
        <f>IF($A61="","",IF(AND($C61="FBS-RECLASSIFYING",ISNUMBER($L61),$L61&lt;0),"NO-AUTO-UPGRADE GUARD APPLIED",""))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MAP'!$D62)</f>
        <v/>
      </c>
      <c r="D62" t="n">
        <v>11</v>
      </c>
      <c r="E62" s="1" t="n">
        <v>46108</v>
      </c>
      <c r="F62" t="inlineStr">
        <is>
          <t>https://www.espn.com/college-football/story/_/id/48306284/2026-college-football-sp+-rankings-138-fbs-teams</t>
        </is>
      </c>
      <c r="G62">
        <f>IF($D62="","",$D62-AVERAGE($D$6:$D$143))</f>
        <v/>
      </c>
      <c r="H62" t="n">
        <v>9.5</v>
      </c>
      <c r="I62" s="1" t="n">
        <v>46222</v>
      </c>
      <c r="J62" t="inlineStr">
        <is>
          <t>https://www.espn.com/college-football/fpi</t>
        </is>
      </c>
      <c r="K62">
        <f>IF($H62="","",$H62-AVERAGE($H$6:$H$143))</f>
        <v/>
      </c>
      <c r="M62">
        <f>IF($L62="","",IF($C62="FBS-RECLASSIFYING",IF($L62&lt;0,$L62,$L62*(1-SETTINGS!$B$16)),$L62*(1-SETTINGS!$B$15)))</f>
        <v/>
      </c>
      <c r="P62">
        <f>IF($M62="","",$M62-AVERAGE($M$6:$M$143))</f>
        <v/>
      </c>
      <c r="Q62" t="n">
        <v>13.7</v>
      </c>
      <c r="R62" s="1" t="n">
        <v>46222</v>
      </c>
      <c r="S62" t="inlineStr">
        <is>
          <t>https://www.teamrankings.com/college-football/ranking/predictive-by-other</t>
        </is>
      </c>
      <c r="T62">
        <f>IF($Q62="","",$Q62-AVERAGE($Q$6:$Q$143))</f>
        <v/>
      </c>
      <c r="X62">
        <f>IF($U62="","",$U62-AVERAGE($U$6:$U$143))</f>
        <v/>
      </c>
      <c r="Y62">
        <f>IF($A62="","",SETTINGS!$B$28*ISNUMBER($G62)+SETTINGS!$B$29*ISNUMBER($K62)+SETTINGS!$B$30*ISNUMBER($P62)+SETTINGS!$B$31*ISNUMBER($T62)+SETTINGS!$B$32*ISNUMBER($X62))</f>
        <v/>
      </c>
      <c r="Z62">
        <f>IF($A62="","",IF($Y62=0,"",(SETTINGS!$B$28*IF(ISNUMBER($G62),$G62,0)+SETTINGS!$B$29*IF(ISNUMBER($K62),$K62,0)+SETTINGS!$B$30*IF(ISNUMBER($P62),$P62,0)+SETTINGS!$B$31*IF(ISNUMBER($T62),$T62,0)+SETTINGS!$B$32*IF(ISNUMBER($X62),$X62,0))/$Y62))</f>
        <v/>
      </c>
      <c r="AA62">
        <f>IF($A62="","",COUNT($D62,$H62,$L62,$Q62,$U62))</f>
        <v/>
      </c>
      <c r="AB62">
        <f>IF($A62="","",IF($AA62&lt;=1,"SINGLE-SOURCE / LOW CONFIDENCE",""))</f>
        <v/>
      </c>
      <c r="AC62">
        <f>IF($A62="","",IF(AND($C62="FBS-RECLASSIFYING",ISNUMBER($L62),$L62&lt;0),"NO-AUTO-UPGRADE GUARD APPLIED",""))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MAP'!$D63)</f>
        <v/>
      </c>
      <c r="D63" t="n">
        <v>21</v>
      </c>
      <c r="E63" s="1" t="n">
        <v>46108</v>
      </c>
      <c r="F63" t="inlineStr">
        <is>
          <t>https://www.espn.com/college-football/story/_/id/48306284/2026-college-football-sp+-rankings-138-fbs-teams</t>
        </is>
      </c>
      <c r="G63">
        <f>IF($D63="","",$D63-AVERAGE($D$6:$D$143))</f>
        <v/>
      </c>
      <c r="H63" t="n">
        <v>21.8</v>
      </c>
      <c r="I63" s="1" t="n">
        <v>46222</v>
      </c>
      <c r="J63" t="inlineStr">
        <is>
          <t>https://www.espn.com/college-football/fpi</t>
        </is>
      </c>
      <c r="K63">
        <f>IF($H63="","",$H63-AVERAGE($H$6:$H$143))</f>
        <v/>
      </c>
      <c r="M63">
        <f>IF($L63="","",IF($C63="FBS-RECLASSIFYING",IF($L63&lt;0,$L63,$L63*(1-SETTINGS!$B$16)),$L63*(1-SETTINGS!$B$15)))</f>
        <v/>
      </c>
      <c r="P63">
        <f>IF($M63="","",$M63-AVERAGE($M$6:$M$143))</f>
        <v/>
      </c>
      <c r="Q63" t="n">
        <v>25.3</v>
      </c>
      <c r="R63" s="1" t="n">
        <v>46222</v>
      </c>
      <c r="S63" t="inlineStr">
        <is>
          <t>https://www.teamrankings.com/college-football/ranking/predictive-by-other</t>
        </is>
      </c>
      <c r="T63">
        <f>IF($Q63="","",$Q63-AVERAGE($Q$6:$Q$143))</f>
        <v/>
      </c>
      <c r="X63">
        <f>IF($U63="","",$U63-AVERAGE($U$6:$U$143))</f>
        <v/>
      </c>
      <c r="Y63">
        <f>IF($A63="","",SETTINGS!$B$28*ISNUMBER($G63)+SETTINGS!$B$29*ISNUMBER($K63)+SETTINGS!$B$30*ISNUMBER($P63)+SETTINGS!$B$31*ISNUMBER($T63)+SETTINGS!$B$32*ISNUMBER($X63))</f>
        <v/>
      </c>
      <c r="Z63">
        <f>IF($A63="","",IF($Y63=0,"",(SETTINGS!$B$28*IF(ISNUMBER($G63),$G63,0)+SETTINGS!$B$29*IF(ISNUMBER($K63),$K63,0)+SETTINGS!$B$30*IF(ISNUMBER($P63),$P63,0)+SETTINGS!$B$31*IF(ISNUMBER($T63),$T63,0)+SETTINGS!$B$32*IF(ISNUMBER($X63),$X63,0))/$Y63))</f>
        <v/>
      </c>
      <c r="AA63">
        <f>IF($A63="","",COUNT($D63,$H63,$L63,$Q63,$U63))</f>
        <v/>
      </c>
      <c r="AB63">
        <f>IF($A63="","",IF($AA63&lt;=1,"SINGLE-SOURCE / LOW CONFIDENCE",""))</f>
        <v/>
      </c>
      <c r="AC63">
        <f>IF($A63="","",IF(AND($C63="FBS-RECLASSIFYING",ISNUMBER($L63),$L63&lt;0),"NO-AUTO-UPGRADE GUARD APPLIED",""))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MAP'!$D64)</f>
        <v/>
      </c>
      <c r="D64" t="n">
        <v>4.9</v>
      </c>
      <c r="E64" s="1" t="n">
        <v>46108</v>
      </c>
      <c r="F64" t="inlineStr">
        <is>
          <t>https://www.espn.com/college-football/story/_/id/48306284/2026-college-football-sp+-rankings-138-fbs-teams</t>
        </is>
      </c>
      <c r="G64">
        <f>IF($D64="","",$D64-AVERAGE($D$6:$D$143))</f>
        <v/>
      </c>
      <c r="H64" t="n">
        <v>3.7</v>
      </c>
      <c r="I64" s="1" t="n">
        <v>46222</v>
      </c>
      <c r="J64" t="inlineStr">
        <is>
          <t>https://www.espn.com/college-football/fpi</t>
        </is>
      </c>
      <c r="K64">
        <f>IF($H64="","",$H64-AVERAGE($H$6:$H$143))</f>
        <v/>
      </c>
      <c r="M64">
        <f>IF($L64="","",IF($C64="FBS-RECLASSIFYING",IF($L64&lt;0,$L64,$L64*(1-SETTINGS!$B$16)),$L64*(1-SETTINGS!$B$15)))</f>
        <v/>
      </c>
      <c r="P64">
        <f>IF($M64="","",$M64-AVERAGE($M$6:$M$143))</f>
        <v/>
      </c>
      <c r="Q64" t="n">
        <v>6.2</v>
      </c>
      <c r="R64" s="1" t="n">
        <v>46222</v>
      </c>
      <c r="S64" t="inlineStr">
        <is>
          <t>https://www.teamrankings.com/college-football/ranking/predictive-by-other</t>
        </is>
      </c>
      <c r="T64">
        <f>IF($Q64="","",$Q64-AVERAGE($Q$6:$Q$143))</f>
        <v/>
      </c>
      <c r="X64">
        <f>IF($U64="","",$U64-AVERAGE($U$6:$U$143))</f>
        <v/>
      </c>
      <c r="Y64">
        <f>IF($A64="","",SETTINGS!$B$28*ISNUMBER($G64)+SETTINGS!$B$29*ISNUMBER($K64)+SETTINGS!$B$30*ISNUMBER($P64)+SETTINGS!$B$31*ISNUMBER($T64)+SETTINGS!$B$32*ISNUMBER($X64))</f>
        <v/>
      </c>
      <c r="Z64">
        <f>IF($A64="","",IF($Y64=0,"",(SETTINGS!$B$28*IF(ISNUMBER($G64),$G64,0)+SETTINGS!$B$29*IF(ISNUMBER($K64),$K64,0)+SETTINGS!$B$30*IF(ISNUMBER($P64),$P64,0)+SETTINGS!$B$31*IF(ISNUMBER($T64),$T64,0)+SETTINGS!$B$32*IF(ISNUMBER($X64),$X64,0))/$Y64))</f>
        <v/>
      </c>
      <c r="AA64">
        <f>IF($A64="","",COUNT($D64,$H64,$L64,$Q64,$U64))</f>
        <v/>
      </c>
      <c r="AB64">
        <f>IF($A64="","",IF($AA64&lt;=1,"SINGLE-SOURCE / LOW CONFIDENCE",""))</f>
        <v/>
      </c>
      <c r="AC64">
        <f>IF($A64="","",IF(AND($C64="FBS-RECLASSIFYING",ISNUMBER($L64),$L64&lt;0),"NO-AUTO-UPGRADE GUARD APPLIED",""))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MAP'!$D65)</f>
        <v/>
      </c>
      <c r="D65" t="n">
        <v>3.8</v>
      </c>
      <c r="E65" s="1" t="n">
        <v>46108</v>
      </c>
      <c r="F65" t="inlineStr">
        <is>
          <t>https://www.espn.com/college-football/story/_/id/48306284/2026-college-football-sp+-rankings-138-fbs-teams</t>
        </is>
      </c>
      <c r="G65">
        <f>IF($D65="","",$D65-AVERAGE($D$6:$D$143))</f>
        <v/>
      </c>
      <c r="H65" t="n">
        <v>4.9</v>
      </c>
      <c r="I65" s="1" t="n">
        <v>46222</v>
      </c>
      <c r="J65" t="inlineStr">
        <is>
          <t>https://www.espn.com/college-football/fpi</t>
        </is>
      </c>
      <c r="K65">
        <f>IF($H65="","",$H65-AVERAGE($H$6:$H$143))</f>
        <v/>
      </c>
      <c r="M65">
        <f>IF($L65="","",IF($C65="FBS-RECLASSIFYING",IF($L65&lt;0,$L65,$L65*(1-SETTINGS!$B$16)),$L65*(1-SETTINGS!$B$15)))</f>
        <v/>
      </c>
      <c r="P65">
        <f>IF($M65="","",$M65-AVERAGE($M$6:$M$143))</f>
        <v/>
      </c>
      <c r="Q65" t="n">
        <v>2.1</v>
      </c>
      <c r="R65" s="1" t="n">
        <v>46222</v>
      </c>
      <c r="S65" t="inlineStr">
        <is>
          <t>https://www.teamrankings.com/college-football/ranking/predictive-by-other</t>
        </is>
      </c>
      <c r="T65">
        <f>IF($Q65="","",$Q65-AVERAGE($Q$6:$Q$143))</f>
        <v/>
      </c>
      <c r="X65">
        <f>IF($U65="","",$U65-AVERAGE($U$6:$U$143))</f>
        <v/>
      </c>
      <c r="Y65">
        <f>IF($A65="","",SETTINGS!$B$28*ISNUMBER($G65)+SETTINGS!$B$29*ISNUMBER($K65)+SETTINGS!$B$30*ISNUMBER($P65)+SETTINGS!$B$31*ISNUMBER($T65)+SETTINGS!$B$32*ISNUMBER($X65))</f>
        <v/>
      </c>
      <c r="Z65">
        <f>IF($A65="","",IF($Y65=0,"",(SETTINGS!$B$28*IF(ISNUMBER($G65),$G65,0)+SETTINGS!$B$29*IF(ISNUMBER($K65),$K65,0)+SETTINGS!$B$30*IF(ISNUMBER($P65),$P65,0)+SETTINGS!$B$31*IF(ISNUMBER($T65),$T65,0)+SETTINGS!$B$32*IF(ISNUMBER($X65),$X65,0))/$Y65))</f>
        <v/>
      </c>
      <c r="AA65">
        <f>IF($A65="","",COUNT($D65,$H65,$L65,$Q65,$U65))</f>
        <v/>
      </c>
      <c r="AB65">
        <f>IF($A65="","",IF($AA65&lt;=1,"SINGLE-SOURCE / LOW CONFIDENCE",""))</f>
        <v/>
      </c>
      <c r="AC65">
        <f>IF($A65="","",IF(AND($C65="FBS-RECLASSIFYING",ISNUMBER($L65),$L65&lt;0),"NO-AUTO-UPGRADE GUARD APPLIED",""))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MAP'!$D66)</f>
        <v/>
      </c>
      <c r="D66" t="n">
        <v>6.5</v>
      </c>
      <c r="E66" s="1" t="n">
        <v>46108</v>
      </c>
      <c r="F66" t="inlineStr">
        <is>
          <t>https://www.espn.com/college-football/story/_/id/48306284/2026-college-football-sp+-rankings-138-fbs-teams</t>
        </is>
      </c>
      <c r="G66">
        <f>IF($D66="","",$D66-AVERAGE($D$6:$D$143))</f>
        <v/>
      </c>
      <c r="H66" t="n">
        <v>6.6</v>
      </c>
      <c r="I66" s="1" t="n">
        <v>46222</v>
      </c>
      <c r="J66" t="inlineStr">
        <is>
          <t>https://www.espn.com/college-football/fpi</t>
        </is>
      </c>
      <c r="K66">
        <f>IF($H66="","",$H66-AVERAGE($H$6:$H$143))</f>
        <v/>
      </c>
      <c r="M66">
        <f>IF($L66="","",IF($C66="FBS-RECLASSIFYING",IF($L66&lt;0,$L66,$L66*(1-SETTINGS!$B$16)),$L66*(1-SETTINGS!$B$15)))</f>
        <v/>
      </c>
      <c r="P66">
        <f>IF($M66="","",$M66-AVERAGE($M$6:$M$143))</f>
        <v/>
      </c>
      <c r="Q66" t="n">
        <v>10</v>
      </c>
      <c r="R66" s="1" t="n">
        <v>46222</v>
      </c>
      <c r="S66" t="inlineStr">
        <is>
          <t>https://www.teamrankings.com/college-football/ranking/predictive-by-other</t>
        </is>
      </c>
      <c r="T66">
        <f>IF($Q66="","",$Q66-AVERAGE($Q$6:$Q$143))</f>
        <v/>
      </c>
      <c r="X66">
        <f>IF($U66="","",$U66-AVERAGE($U$6:$U$143))</f>
        <v/>
      </c>
      <c r="Y66">
        <f>IF($A66="","",SETTINGS!$B$28*ISNUMBER($G66)+SETTINGS!$B$29*ISNUMBER($K66)+SETTINGS!$B$30*ISNUMBER($P66)+SETTINGS!$B$31*ISNUMBER($T66)+SETTINGS!$B$32*ISNUMBER($X66))</f>
        <v/>
      </c>
      <c r="Z66">
        <f>IF($A66="","",IF($Y66=0,"",(SETTINGS!$B$28*IF(ISNUMBER($G66),$G66,0)+SETTINGS!$B$29*IF(ISNUMBER($K66),$K66,0)+SETTINGS!$B$30*IF(ISNUMBER($P66),$P66,0)+SETTINGS!$B$31*IF(ISNUMBER($T66),$T66,0)+SETTINGS!$B$32*IF(ISNUMBER($X66),$X66,0))/$Y66))</f>
        <v/>
      </c>
      <c r="AA66">
        <f>IF($A66="","",COUNT($D66,$H66,$L66,$Q66,$U66))</f>
        <v/>
      </c>
      <c r="AB66">
        <f>IF($A66="","",IF($AA66&lt;=1,"SINGLE-SOURCE / LOW CONFIDENCE",""))</f>
        <v/>
      </c>
      <c r="AC66">
        <f>IF($A66="","",IF(AND($C66="FBS-RECLASSIFYING",ISNUMBER($L66),$L66&lt;0),"NO-AUTO-UPGRADE GUARD APPLIED",""))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MAP'!$D67)</f>
        <v/>
      </c>
      <c r="D67" t="n">
        <v>10.9</v>
      </c>
      <c r="E67" s="1" t="n">
        <v>46108</v>
      </c>
      <c r="F67" t="inlineStr">
        <is>
          <t>https://www.espn.com/college-football/story/_/id/48306284/2026-college-football-sp+-rankings-138-fbs-teams</t>
        </is>
      </c>
      <c r="G67">
        <f>IF($D67="","",$D67-AVERAGE($D$6:$D$143))</f>
        <v/>
      </c>
      <c r="H67" t="n">
        <v>11.1</v>
      </c>
      <c r="I67" s="1" t="n">
        <v>46222</v>
      </c>
      <c r="J67" t="inlineStr">
        <is>
          <t>https://www.espn.com/college-football/fpi</t>
        </is>
      </c>
      <c r="K67">
        <f>IF($H67="","",$H67-AVERAGE($H$6:$H$143))</f>
        <v/>
      </c>
      <c r="M67">
        <f>IF($L67="","",IF($C67="FBS-RECLASSIFYING",IF($L67&lt;0,$L67,$L67*(1-SETTINGS!$B$16)),$L67*(1-SETTINGS!$B$15)))</f>
        <v/>
      </c>
      <c r="P67">
        <f>IF($M67="","",$M67-AVERAGE($M$6:$M$143))</f>
        <v/>
      </c>
      <c r="Q67" t="n">
        <v>14.4</v>
      </c>
      <c r="R67" s="1" t="n">
        <v>46222</v>
      </c>
      <c r="S67" t="inlineStr">
        <is>
          <t>https://www.teamrankings.com/college-football/ranking/predictive-by-other</t>
        </is>
      </c>
      <c r="T67">
        <f>IF($Q67="","",$Q67-AVERAGE($Q$6:$Q$143))</f>
        <v/>
      </c>
      <c r="X67">
        <f>IF($U67="","",$U67-AVERAGE($U$6:$U$143))</f>
        <v/>
      </c>
      <c r="Y67">
        <f>IF($A67="","",SETTINGS!$B$28*ISNUMBER($G67)+SETTINGS!$B$29*ISNUMBER($K67)+SETTINGS!$B$30*ISNUMBER($P67)+SETTINGS!$B$31*ISNUMBER($T67)+SETTINGS!$B$32*ISNUMBER($X67))</f>
        <v/>
      </c>
      <c r="Z67">
        <f>IF($A67="","",IF($Y67=0,"",(SETTINGS!$B$28*IF(ISNUMBER($G67),$G67,0)+SETTINGS!$B$29*IF(ISNUMBER($K67),$K67,0)+SETTINGS!$B$30*IF(ISNUMBER($P67),$P67,0)+SETTINGS!$B$31*IF(ISNUMBER($T67),$T67,0)+SETTINGS!$B$32*IF(ISNUMBER($X67),$X67,0))/$Y67))</f>
        <v/>
      </c>
      <c r="AA67">
        <f>IF($A67="","",COUNT($D67,$H67,$L67,$Q67,$U67))</f>
        <v/>
      </c>
      <c r="AB67">
        <f>IF($A67="","",IF($AA67&lt;=1,"SINGLE-SOURCE / LOW CONFIDENCE",""))</f>
        <v/>
      </c>
      <c r="AC67">
        <f>IF($A67="","",IF(AND($C67="FBS-RECLASSIFYING",ISNUMBER($L67),$L67&lt;0),"NO-AUTO-UPGRADE GUARD APPLIED",""))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MAP'!$D68)</f>
        <v/>
      </c>
      <c r="D68" t="n">
        <v>-1.9</v>
      </c>
      <c r="E68" s="1" t="n">
        <v>46108</v>
      </c>
      <c r="F68" t="inlineStr">
        <is>
          <t>https://www.espn.com/college-football/story/_/id/48306284/2026-college-football-sp+-rankings-138-fbs-teams</t>
        </is>
      </c>
      <c r="G68">
        <f>IF($D68="","",$D68-AVERAGE($D$6:$D$143))</f>
        <v/>
      </c>
      <c r="H68" t="n">
        <v>-3.3</v>
      </c>
      <c r="I68" s="1" t="n">
        <v>46222</v>
      </c>
      <c r="J68" t="inlineStr">
        <is>
          <t>https://www.espn.com/college-football/fpi</t>
        </is>
      </c>
      <c r="K68">
        <f>IF($H68="","",$H68-AVERAGE($H$6:$H$143))</f>
        <v/>
      </c>
      <c r="M68">
        <f>IF($L68="","",IF($C68="FBS-RECLASSIFYING",IF($L68&lt;0,$L68,$L68*(1-SETTINGS!$B$16)),$L68*(1-SETTINGS!$B$15)))</f>
        <v/>
      </c>
      <c r="P68">
        <f>IF($M68="","",$M68-AVERAGE($M$6:$M$143))</f>
        <v/>
      </c>
      <c r="Q68" t="n">
        <v>-3</v>
      </c>
      <c r="R68" s="1" t="n">
        <v>46222</v>
      </c>
      <c r="S68" t="inlineStr">
        <is>
          <t>https://www.teamrankings.com/college-football/ranking/predictive-by-other</t>
        </is>
      </c>
      <c r="T68">
        <f>IF($Q68="","",$Q68-AVERAGE($Q$6:$Q$143))</f>
        <v/>
      </c>
      <c r="X68">
        <f>IF($U68="","",$U68-AVERAGE($U$6:$U$143))</f>
        <v/>
      </c>
      <c r="Y68">
        <f>IF($A68="","",SETTINGS!$B$28*ISNUMBER($G68)+SETTINGS!$B$29*ISNUMBER($K68)+SETTINGS!$B$30*ISNUMBER($P68)+SETTINGS!$B$31*ISNUMBER($T68)+SETTINGS!$B$32*ISNUMBER($X68))</f>
        <v/>
      </c>
      <c r="Z68">
        <f>IF($A68="","",IF($Y68=0,"",(SETTINGS!$B$28*IF(ISNUMBER($G68),$G68,0)+SETTINGS!$B$29*IF(ISNUMBER($K68),$K68,0)+SETTINGS!$B$30*IF(ISNUMBER($P68),$P68,0)+SETTINGS!$B$31*IF(ISNUMBER($T68),$T68,0)+SETTINGS!$B$32*IF(ISNUMBER($X68),$X68,0))/$Y68))</f>
        <v/>
      </c>
      <c r="AA68">
        <f>IF($A68="","",COUNT($D68,$H68,$L68,$Q68,$U68))</f>
        <v/>
      </c>
      <c r="AB68">
        <f>IF($A68="","",IF($AA68&lt;=1,"SINGLE-SOURCE / LOW CONFIDENCE",""))</f>
        <v/>
      </c>
      <c r="AC68">
        <f>IF($A68="","",IF(AND($C68="FBS-RECLASSIFYING",ISNUMBER($L68),$L68&lt;0),"NO-AUTO-UPGRADE GUARD APPLIED",""))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MAP'!$D69)</f>
        <v/>
      </c>
      <c r="D69" t="n">
        <v>-0.7</v>
      </c>
      <c r="E69" s="1" t="n">
        <v>46108</v>
      </c>
      <c r="F69" t="inlineStr">
        <is>
          <t>https://www.espn.com/college-football/story/_/id/48306284/2026-college-football-sp+-rankings-138-fbs-teams</t>
        </is>
      </c>
      <c r="G69">
        <f>IF($D69="","",$D69-AVERAGE($D$6:$D$143))</f>
        <v/>
      </c>
      <c r="H69" t="n">
        <v>-0.8</v>
      </c>
      <c r="I69" s="1" t="n">
        <v>46222</v>
      </c>
      <c r="J69" t="inlineStr">
        <is>
          <t>https://www.espn.com/college-football/fpi</t>
        </is>
      </c>
      <c r="K69">
        <f>IF($H69="","",$H69-AVERAGE($H$6:$H$143))</f>
        <v/>
      </c>
      <c r="M69">
        <f>IF($L69="","",IF($C69="FBS-RECLASSIFYING",IF($L69&lt;0,$L69,$L69*(1-SETTINGS!$B$16)),$L69*(1-SETTINGS!$B$15)))</f>
        <v/>
      </c>
      <c r="P69">
        <f>IF($M69="","",$M69-AVERAGE($M$6:$M$143))</f>
        <v/>
      </c>
      <c r="Q69" t="n">
        <v>-0.2</v>
      </c>
      <c r="R69" s="1" t="n">
        <v>46222</v>
      </c>
      <c r="S69" t="inlineStr">
        <is>
          <t>https://www.teamrankings.com/college-football/ranking/predictive-by-other</t>
        </is>
      </c>
      <c r="T69">
        <f>IF($Q69="","",$Q69-AVERAGE($Q$6:$Q$143))</f>
        <v/>
      </c>
      <c r="X69">
        <f>IF($U69="","",$U69-AVERAGE($U$6:$U$143))</f>
        <v/>
      </c>
      <c r="Y69">
        <f>IF($A69="","",SETTINGS!$B$28*ISNUMBER($G69)+SETTINGS!$B$29*ISNUMBER($K69)+SETTINGS!$B$30*ISNUMBER($P69)+SETTINGS!$B$31*ISNUMBER($T69)+SETTINGS!$B$32*ISNUMBER($X69))</f>
        <v/>
      </c>
      <c r="Z69">
        <f>IF($A69="","",IF($Y69=0,"",(SETTINGS!$B$28*IF(ISNUMBER($G69),$G69,0)+SETTINGS!$B$29*IF(ISNUMBER($K69),$K69,0)+SETTINGS!$B$30*IF(ISNUMBER($P69),$P69,0)+SETTINGS!$B$31*IF(ISNUMBER($T69),$T69,0)+SETTINGS!$B$32*IF(ISNUMBER($X69),$X69,0))/$Y69))</f>
        <v/>
      </c>
      <c r="AA69">
        <f>IF($A69="","",COUNT($D69,$H69,$L69,$Q69,$U69))</f>
        <v/>
      </c>
      <c r="AB69">
        <f>IF($A69="","",IF($AA69&lt;=1,"SINGLE-SOURCE / LOW CONFIDENCE",""))</f>
        <v/>
      </c>
      <c r="AC69">
        <f>IF($A69="","",IF(AND($C69="FBS-RECLASSIFYING",ISNUMBER($L69),$L69&lt;0),"NO-AUTO-UPGRADE GUARD APPLIED",""))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MAP'!$D70)</f>
        <v/>
      </c>
      <c r="D70" t="n">
        <v>6.6</v>
      </c>
      <c r="E70" s="1" t="n">
        <v>46108</v>
      </c>
      <c r="F70" t="inlineStr">
        <is>
          <t>https://www.espn.com/college-football/story/_/id/48306284/2026-college-football-sp+-rankings-138-fbs-teams</t>
        </is>
      </c>
      <c r="G70">
        <f>IF($D70="","",$D70-AVERAGE($D$6:$D$143))</f>
        <v/>
      </c>
      <c r="H70" t="n">
        <v>7.9</v>
      </c>
      <c r="I70" s="1" t="n">
        <v>46222</v>
      </c>
      <c r="J70" t="inlineStr">
        <is>
          <t>https://www.espn.com/college-football/fpi</t>
        </is>
      </c>
      <c r="K70">
        <f>IF($H70="","",$H70-AVERAGE($H$6:$H$143))</f>
        <v/>
      </c>
      <c r="M70">
        <f>IF($L70="","",IF($C70="FBS-RECLASSIFYING",IF($L70&lt;0,$L70,$L70*(1-SETTINGS!$B$16)),$L70*(1-SETTINGS!$B$15)))</f>
        <v/>
      </c>
      <c r="P70">
        <f>IF($M70="","",$M70-AVERAGE($M$6:$M$143))</f>
        <v/>
      </c>
      <c r="Q70" t="n">
        <v>9</v>
      </c>
      <c r="R70" s="1" t="n">
        <v>46222</v>
      </c>
      <c r="S70" t="inlineStr">
        <is>
          <t>https://www.teamrankings.com/college-football/ranking/predictive-by-other</t>
        </is>
      </c>
      <c r="T70">
        <f>IF($Q70="","",$Q70-AVERAGE($Q$6:$Q$143))</f>
        <v/>
      </c>
      <c r="X70">
        <f>IF($U70="","",$U70-AVERAGE($U$6:$U$143))</f>
        <v/>
      </c>
      <c r="Y70">
        <f>IF($A70="","",SETTINGS!$B$28*ISNUMBER($G70)+SETTINGS!$B$29*ISNUMBER($K70)+SETTINGS!$B$30*ISNUMBER($P70)+SETTINGS!$B$31*ISNUMBER($T70)+SETTINGS!$B$32*ISNUMBER($X70))</f>
        <v/>
      </c>
      <c r="Z70">
        <f>IF($A70="","",IF($Y70=0,"",(SETTINGS!$B$28*IF(ISNUMBER($G70),$G70,0)+SETTINGS!$B$29*IF(ISNUMBER($K70),$K70,0)+SETTINGS!$B$30*IF(ISNUMBER($P70),$P70,0)+SETTINGS!$B$31*IF(ISNUMBER($T70),$T70,0)+SETTINGS!$B$32*IF(ISNUMBER($X70),$X70,0))/$Y70))</f>
        <v/>
      </c>
      <c r="AA70">
        <f>IF($A70="","",COUNT($D70,$H70,$L70,$Q70,$U70))</f>
        <v/>
      </c>
      <c r="AB70">
        <f>IF($A70="","",IF($AA70&lt;=1,"SINGLE-SOURCE / LOW CONFIDENCE",""))</f>
        <v/>
      </c>
      <c r="AC70">
        <f>IF($A70="","",IF(AND($C70="FBS-RECLASSIFYING",ISNUMBER($L70),$L70&lt;0),"NO-AUTO-UPGRADE GUARD APPLIED",""))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MAP'!$D71)</f>
        <v/>
      </c>
      <c r="D71" t="n">
        <v>9.4</v>
      </c>
      <c r="E71" s="1" t="n">
        <v>46108</v>
      </c>
      <c r="F71" t="inlineStr">
        <is>
          <t>https://www.espn.com/college-football/story/_/id/48306284/2026-college-football-sp+-rankings-138-fbs-teams</t>
        </is>
      </c>
      <c r="G71">
        <f>IF($D71="","",$D71-AVERAGE($D$6:$D$143))</f>
        <v/>
      </c>
      <c r="H71" t="n">
        <v>7.4</v>
      </c>
      <c r="I71" s="1" t="n">
        <v>46222</v>
      </c>
      <c r="J71" t="inlineStr">
        <is>
          <t>https://www.espn.com/college-football/fpi</t>
        </is>
      </c>
      <c r="K71">
        <f>IF($H71="","",$H71-AVERAGE($H$6:$H$143))</f>
        <v/>
      </c>
      <c r="M71">
        <f>IF($L71="","",IF($C71="FBS-RECLASSIFYING",IF($L71&lt;0,$L71,$L71*(1-SETTINGS!$B$16)),$L71*(1-SETTINGS!$B$15)))</f>
        <v/>
      </c>
      <c r="P71">
        <f>IF($M71="","",$M71-AVERAGE($M$6:$M$143))</f>
        <v/>
      </c>
      <c r="Q71" t="n">
        <v>8.199999999999999</v>
      </c>
      <c r="R71" s="1" t="n">
        <v>46222</v>
      </c>
      <c r="S71" t="inlineStr">
        <is>
          <t>https://www.teamrankings.com/college-football/ranking/predictive-by-other</t>
        </is>
      </c>
      <c r="T71">
        <f>IF($Q71="","",$Q71-AVERAGE($Q$6:$Q$143))</f>
        <v/>
      </c>
      <c r="X71">
        <f>IF($U71="","",$U71-AVERAGE($U$6:$U$143))</f>
        <v/>
      </c>
      <c r="Y71">
        <f>IF($A71="","",SETTINGS!$B$28*ISNUMBER($G71)+SETTINGS!$B$29*ISNUMBER($K71)+SETTINGS!$B$30*ISNUMBER($P71)+SETTINGS!$B$31*ISNUMBER($T71)+SETTINGS!$B$32*ISNUMBER($X71))</f>
        <v/>
      </c>
      <c r="Z71">
        <f>IF($A71="","",IF($Y71=0,"",(SETTINGS!$B$28*IF(ISNUMBER($G71),$G71,0)+SETTINGS!$B$29*IF(ISNUMBER($K71),$K71,0)+SETTINGS!$B$30*IF(ISNUMBER($P71),$P71,0)+SETTINGS!$B$31*IF(ISNUMBER($T71),$T71,0)+SETTINGS!$B$32*IF(ISNUMBER($X71),$X71,0))/$Y71))</f>
        <v/>
      </c>
      <c r="AA71">
        <f>IF($A71="","",COUNT($D71,$H71,$L71,$Q71,$U71))</f>
        <v/>
      </c>
      <c r="AB71">
        <f>IF($A71="","",IF($AA71&lt;=1,"SINGLE-SOURCE / LOW CONFIDENCE",""))</f>
        <v/>
      </c>
      <c r="AC71">
        <f>IF($A71="","",IF(AND($C71="FBS-RECLASSIFYING",ISNUMBER($L71),$L71&lt;0),"NO-AUTO-UPGRADE GUARD APPLIED",""))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MAP'!$D72)</f>
        <v/>
      </c>
      <c r="D72" t="n">
        <v>3.6</v>
      </c>
      <c r="E72" s="1" t="n">
        <v>46108</v>
      </c>
      <c r="F72" t="inlineStr">
        <is>
          <t>https://www.espn.com/college-football/story/_/id/48306284/2026-college-football-sp+-rankings-138-fbs-teams</t>
        </is>
      </c>
      <c r="G72">
        <f>IF($D72="","",$D72-AVERAGE($D$6:$D$143))</f>
        <v/>
      </c>
      <c r="H72" t="n">
        <v>3.4</v>
      </c>
      <c r="I72" s="1" t="n">
        <v>46222</v>
      </c>
      <c r="J72" t="inlineStr">
        <is>
          <t>https://www.espn.com/college-football/fpi</t>
        </is>
      </c>
      <c r="K72">
        <f>IF($H72="","",$H72-AVERAGE($H$6:$H$143))</f>
        <v/>
      </c>
      <c r="M72">
        <f>IF($L72="","",IF($C72="FBS-RECLASSIFYING",IF($L72&lt;0,$L72,$L72*(1-SETTINGS!$B$16)),$L72*(1-SETTINGS!$B$15)))</f>
        <v/>
      </c>
      <c r="P72">
        <f>IF($M72="","",$M72-AVERAGE($M$6:$M$143))</f>
        <v/>
      </c>
      <c r="Q72" t="n">
        <v>2.4</v>
      </c>
      <c r="R72" s="1" t="n">
        <v>46222</v>
      </c>
      <c r="S72" t="inlineStr">
        <is>
          <t>https://www.teamrankings.com/college-football/ranking/predictive-by-other</t>
        </is>
      </c>
      <c r="T72">
        <f>IF($Q72="","",$Q72-AVERAGE($Q$6:$Q$143))</f>
        <v/>
      </c>
      <c r="X72">
        <f>IF($U72="","",$U72-AVERAGE($U$6:$U$143))</f>
        <v/>
      </c>
      <c r="Y72">
        <f>IF($A72="","",SETTINGS!$B$28*ISNUMBER($G72)+SETTINGS!$B$29*ISNUMBER($K72)+SETTINGS!$B$30*ISNUMBER($P72)+SETTINGS!$B$31*ISNUMBER($T72)+SETTINGS!$B$32*ISNUMBER($X72))</f>
        <v/>
      </c>
      <c r="Z72">
        <f>IF($A72="","",IF($Y72=0,"",(SETTINGS!$B$28*IF(ISNUMBER($G72),$G72,0)+SETTINGS!$B$29*IF(ISNUMBER($K72),$K72,0)+SETTINGS!$B$30*IF(ISNUMBER($P72),$P72,0)+SETTINGS!$B$31*IF(ISNUMBER($T72),$T72,0)+SETTINGS!$B$32*IF(ISNUMBER($X72),$X72,0))/$Y72))</f>
        <v/>
      </c>
      <c r="AA72">
        <f>IF($A72="","",COUNT($D72,$H72,$L72,$Q72,$U72))</f>
        <v/>
      </c>
      <c r="AB72">
        <f>IF($A72="","",IF($AA72&lt;=1,"SINGLE-SOURCE / LOW CONFIDENCE",""))</f>
        <v/>
      </c>
      <c r="AC72">
        <f>IF($A72="","",IF(AND($C72="FBS-RECLASSIFYING",ISNUMBER($L72),$L72&lt;0),"NO-AUTO-UPGRADE GUARD APPLIED",""))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MAP'!$D73)</f>
        <v/>
      </c>
      <c r="D73" t="n">
        <v>6.8</v>
      </c>
      <c r="E73" s="1" t="n">
        <v>46108</v>
      </c>
      <c r="F73" t="inlineStr">
        <is>
          <t>https://www.espn.com/college-football/story/_/id/48306284/2026-college-football-sp+-rankings-138-fbs-teams</t>
        </is>
      </c>
      <c r="G73">
        <f>IF($D73="","",$D73-AVERAGE($D$6:$D$143))</f>
        <v/>
      </c>
      <c r="H73" t="n">
        <v>4</v>
      </c>
      <c r="I73" s="1" t="n">
        <v>46222</v>
      </c>
      <c r="J73" t="inlineStr">
        <is>
          <t>https://www.espn.com/college-football/fpi</t>
        </is>
      </c>
      <c r="K73">
        <f>IF($H73="","",$H73-AVERAGE($H$6:$H$143))</f>
        <v/>
      </c>
      <c r="M73">
        <f>IF($L73="","",IF($C73="FBS-RECLASSIFYING",IF($L73&lt;0,$L73,$L73*(1-SETTINGS!$B$16)),$L73*(1-SETTINGS!$B$15)))</f>
        <v/>
      </c>
      <c r="P73">
        <f>IF($M73="","",$M73-AVERAGE($M$6:$M$143))</f>
        <v/>
      </c>
      <c r="Q73" t="n">
        <v>6.7</v>
      </c>
      <c r="R73" s="1" t="n">
        <v>46222</v>
      </c>
      <c r="S73" t="inlineStr">
        <is>
          <t>https://www.teamrankings.com/college-football/ranking/predictive-by-other</t>
        </is>
      </c>
      <c r="T73">
        <f>IF($Q73="","",$Q73-AVERAGE($Q$6:$Q$143))</f>
        <v/>
      </c>
      <c r="X73">
        <f>IF($U73="","",$U73-AVERAGE($U$6:$U$143))</f>
        <v/>
      </c>
      <c r="Y73">
        <f>IF($A73="","",SETTINGS!$B$28*ISNUMBER($G73)+SETTINGS!$B$29*ISNUMBER($K73)+SETTINGS!$B$30*ISNUMBER($P73)+SETTINGS!$B$31*ISNUMBER($T73)+SETTINGS!$B$32*ISNUMBER($X73))</f>
        <v/>
      </c>
      <c r="Z73">
        <f>IF($A73="","",IF($Y73=0,"",(SETTINGS!$B$28*IF(ISNUMBER($G73),$G73,0)+SETTINGS!$B$29*IF(ISNUMBER($K73),$K73,0)+SETTINGS!$B$30*IF(ISNUMBER($P73),$P73,0)+SETTINGS!$B$31*IF(ISNUMBER($T73),$T73,0)+SETTINGS!$B$32*IF(ISNUMBER($X73),$X73,0))/$Y73))</f>
        <v/>
      </c>
      <c r="AA73">
        <f>IF($A73="","",COUNT($D73,$H73,$L73,$Q73,$U73))</f>
        <v/>
      </c>
      <c r="AB73">
        <f>IF($A73="","",IF($AA73&lt;=1,"SINGLE-SOURCE / LOW CONFIDENCE",""))</f>
        <v/>
      </c>
      <c r="AC73">
        <f>IF($A73="","",IF(AND($C73="FBS-RECLASSIFYING",ISNUMBER($L73),$L73&lt;0),"NO-AUTO-UPGRADE GUARD APPLIED",""))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MAP'!$D74)</f>
        <v/>
      </c>
      <c r="D74" t="n">
        <v>-8.300000000000001</v>
      </c>
      <c r="E74" s="1" t="n">
        <v>46108</v>
      </c>
      <c r="F74" t="inlineStr">
        <is>
          <t>https://www.espn.com/college-football/story/_/id/48306284/2026-college-football-sp+-rankings-138-fbs-teams</t>
        </is>
      </c>
      <c r="G74">
        <f>IF($D74="","",$D74-AVERAGE($D$6:$D$143))</f>
        <v/>
      </c>
      <c r="H74" t="n">
        <v>-12.4</v>
      </c>
      <c r="I74" s="1" t="n">
        <v>46222</v>
      </c>
      <c r="J74" t="inlineStr">
        <is>
          <t>https://www.espn.com/college-football/fpi</t>
        </is>
      </c>
      <c r="K74">
        <f>IF($H74="","",$H74-AVERAGE($H$6:$H$143))</f>
        <v/>
      </c>
      <c r="M74">
        <f>IF($L74="","",IF($C74="FBS-RECLASSIFYING",IF($L74&lt;0,$L74,$L74*(1-SETTINGS!$B$16)),$L74*(1-SETTINGS!$B$15)))</f>
        <v/>
      </c>
      <c r="P74">
        <f>IF($M74="","",$M74-AVERAGE($M$6:$M$143))</f>
        <v/>
      </c>
      <c r="Q74" t="n">
        <v>-10.7</v>
      </c>
      <c r="R74" s="1" t="n">
        <v>46222</v>
      </c>
      <c r="S74" t="inlineStr">
        <is>
          <t>https://www.teamrankings.com/college-football/ranking/predictive-by-other</t>
        </is>
      </c>
      <c r="T74">
        <f>IF($Q74="","",$Q74-AVERAGE($Q$6:$Q$143))</f>
        <v/>
      </c>
      <c r="X74">
        <f>IF($U74="","",$U74-AVERAGE($U$6:$U$143))</f>
        <v/>
      </c>
      <c r="Y74">
        <f>IF($A74="","",SETTINGS!$B$28*ISNUMBER($G74)+SETTINGS!$B$29*ISNUMBER($K74)+SETTINGS!$B$30*ISNUMBER($P74)+SETTINGS!$B$31*ISNUMBER($T74)+SETTINGS!$B$32*ISNUMBER($X74))</f>
        <v/>
      </c>
      <c r="Z74">
        <f>IF($A74="","",IF($Y74=0,"",(SETTINGS!$B$28*IF(ISNUMBER($G74),$G74,0)+SETTINGS!$B$29*IF(ISNUMBER($K74),$K74,0)+SETTINGS!$B$30*IF(ISNUMBER($P74),$P74,0)+SETTINGS!$B$31*IF(ISNUMBER($T74),$T74,0)+SETTINGS!$B$32*IF(ISNUMBER($X74),$X74,0))/$Y74))</f>
        <v/>
      </c>
      <c r="AA74">
        <f>IF($A74="","",COUNT($D74,$H74,$L74,$Q74,$U74))</f>
        <v/>
      </c>
      <c r="AB74">
        <f>IF($A74="","",IF($AA74&lt;=1,"SINGLE-SOURCE / LOW CONFIDENCE",""))</f>
        <v/>
      </c>
      <c r="AC74">
        <f>IF($A74="","",IF(AND($C74="FBS-RECLASSIFYING",ISNUMBER($L74),$L74&lt;0),"NO-AUTO-UPGRADE GUARD APPLIED",""))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MAP'!$D75)</f>
        <v/>
      </c>
      <c r="D75" t="n">
        <v>-2.3</v>
      </c>
      <c r="E75" s="1" t="n">
        <v>46108</v>
      </c>
      <c r="F75" t="inlineStr">
        <is>
          <t>https://www.espn.com/college-football/story/_/id/48306284/2026-college-football-sp+-rankings-138-fbs-teams</t>
        </is>
      </c>
      <c r="G75">
        <f>IF($D75="","",$D75-AVERAGE($D$6:$D$143))</f>
        <v/>
      </c>
      <c r="H75" t="n">
        <v>-2.5</v>
      </c>
      <c r="I75" s="1" t="n">
        <v>46222</v>
      </c>
      <c r="J75" t="inlineStr">
        <is>
          <t>https://www.espn.com/college-football/fpi</t>
        </is>
      </c>
      <c r="K75">
        <f>IF($H75="","",$H75-AVERAGE($H$6:$H$143))</f>
        <v/>
      </c>
      <c r="M75">
        <f>IF($L75="","",IF($C75="FBS-RECLASSIFYING",IF($L75&lt;0,$L75,$L75*(1-SETTINGS!$B$16)),$L75*(1-SETTINGS!$B$15)))</f>
        <v/>
      </c>
      <c r="P75">
        <f>IF($M75="","",$M75-AVERAGE($M$6:$M$143))</f>
        <v/>
      </c>
      <c r="Q75" t="n">
        <v>2</v>
      </c>
      <c r="R75" s="1" t="n">
        <v>46222</v>
      </c>
      <c r="S75" t="inlineStr">
        <is>
          <t>https://www.teamrankings.com/college-football/ranking/predictive-by-other</t>
        </is>
      </c>
      <c r="T75">
        <f>IF($Q75="","",$Q75-AVERAGE($Q$6:$Q$143))</f>
        <v/>
      </c>
      <c r="X75">
        <f>IF($U75="","",$U75-AVERAGE($U$6:$U$143))</f>
        <v/>
      </c>
      <c r="Y75">
        <f>IF($A75="","",SETTINGS!$B$28*ISNUMBER($G75)+SETTINGS!$B$29*ISNUMBER($K75)+SETTINGS!$B$30*ISNUMBER($P75)+SETTINGS!$B$31*ISNUMBER($T75)+SETTINGS!$B$32*ISNUMBER($X75))</f>
        <v/>
      </c>
      <c r="Z75">
        <f>IF($A75="","",IF($Y75=0,"",(SETTINGS!$B$28*IF(ISNUMBER($G75),$G75,0)+SETTINGS!$B$29*IF(ISNUMBER($K75),$K75,0)+SETTINGS!$B$30*IF(ISNUMBER($P75),$P75,0)+SETTINGS!$B$31*IF(ISNUMBER($T75),$T75,0)+SETTINGS!$B$32*IF(ISNUMBER($X75),$X75,0))/$Y75))</f>
        <v/>
      </c>
      <c r="AA75">
        <f>IF($A75="","",COUNT($D75,$H75,$L75,$Q75,$U75))</f>
        <v/>
      </c>
      <c r="AB75">
        <f>IF($A75="","",IF($AA75&lt;=1,"SINGLE-SOURCE / LOW CONFIDENCE",""))</f>
        <v/>
      </c>
      <c r="AC75">
        <f>IF($A75="","",IF(AND($C75="FBS-RECLASSIFYING",ISNUMBER($L75),$L75&lt;0),"NO-AUTO-UPGRADE GUARD APPLIED",""))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MAP'!$D76)</f>
        <v/>
      </c>
      <c r="D76" t="n">
        <v>-6.3</v>
      </c>
      <c r="E76" s="1" t="n">
        <v>46108</v>
      </c>
      <c r="F76" t="inlineStr">
        <is>
          <t>https://www.espn.com/college-football/story/_/id/48306284/2026-college-football-sp+-rankings-138-fbs-teams</t>
        </is>
      </c>
      <c r="G76">
        <f>IF($D76="","",$D76-AVERAGE($D$6:$D$143))</f>
        <v/>
      </c>
      <c r="H76" t="n">
        <v>-8.1</v>
      </c>
      <c r="I76" s="1" t="n">
        <v>46222</v>
      </c>
      <c r="J76" t="inlineStr">
        <is>
          <t>https://www.espn.com/college-football/fpi</t>
        </is>
      </c>
      <c r="K76">
        <f>IF($H76="","",$H76-AVERAGE($H$6:$H$143))</f>
        <v/>
      </c>
      <c r="M76">
        <f>IF($L76="","",IF($C76="FBS-RECLASSIFYING",IF($L76&lt;0,$L76,$L76*(1-SETTINGS!$B$16)),$L76*(1-SETTINGS!$B$15)))</f>
        <v/>
      </c>
      <c r="P76">
        <f>IF($M76="","",$M76-AVERAGE($M$6:$M$143))</f>
        <v/>
      </c>
      <c r="Q76" t="n">
        <v>-10</v>
      </c>
      <c r="R76" s="1" t="n">
        <v>46222</v>
      </c>
      <c r="S76" t="inlineStr">
        <is>
          <t>https://www.teamrankings.com/college-football/ranking/predictive-by-other</t>
        </is>
      </c>
      <c r="T76">
        <f>IF($Q76="","",$Q76-AVERAGE($Q$6:$Q$143))</f>
        <v/>
      </c>
      <c r="X76">
        <f>IF($U76="","",$U76-AVERAGE($U$6:$U$143))</f>
        <v/>
      </c>
      <c r="Y76">
        <f>IF($A76="","",SETTINGS!$B$28*ISNUMBER($G76)+SETTINGS!$B$29*ISNUMBER($K76)+SETTINGS!$B$30*ISNUMBER($P76)+SETTINGS!$B$31*ISNUMBER($T76)+SETTINGS!$B$32*ISNUMBER($X76))</f>
        <v/>
      </c>
      <c r="Z76">
        <f>IF($A76="","",IF($Y76=0,"",(SETTINGS!$B$28*IF(ISNUMBER($G76),$G76,0)+SETTINGS!$B$29*IF(ISNUMBER($K76),$K76,0)+SETTINGS!$B$30*IF(ISNUMBER($P76),$P76,0)+SETTINGS!$B$31*IF(ISNUMBER($T76),$T76,0)+SETTINGS!$B$32*IF(ISNUMBER($X76),$X76,0))/$Y76))</f>
        <v/>
      </c>
      <c r="AA76">
        <f>IF($A76="","",COUNT($D76,$H76,$L76,$Q76,$U76))</f>
        <v/>
      </c>
      <c r="AB76">
        <f>IF($A76="","",IF($AA76&lt;=1,"SINGLE-SOURCE / LOW CONFIDENCE",""))</f>
        <v/>
      </c>
      <c r="AC76">
        <f>IF($A76="","",IF(AND($C76="FBS-RECLASSIFYING",ISNUMBER($L76),$L76&lt;0),"NO-AUTO-UPGRADE GUARD APPLIED",""))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MAP'!$D77)</f>
        <v/>
      </c>
      <c r="D77" t="n">
        <v>-1.3</v>
      </c>
      <c r="E77" s="1" t="n">
        <v>46108</v>
      </c>
      <c r="F77" t="inlineStr">
        <is>
          <t>https://www.espn.com/college-football/story/_/id/48306284/2026-college-football-sp+-rankings-138-fbs-teams</t>
        </is>
      </c>
      <c r="G77">
        <f>IF($D77="","",$D77-AVERAGE($D$6:$D$143))</f>
        <v/>
      </c>
      <c r="H77" t="n">
        <v>1.4</v>
      </c>
      <c r="I77" s="1" t="n">
        <v>46222</v>
      </c>
      <c r="J77" t="inlineStr">
        <is>
          <t>https://www.espn.com/college-football/fpi</t>
        </is>
      </c>
      <c r="K77">
        <f>IF($H77="","",$H77-AVERAGE($H$6:$H$143))</f>
        <v/>
      </c>
      <c r="M77">
        <f>IF($L77="","",IF($C77="FBS-RECLASSIFYING",IF($L77&lt;0,$L77,$L77*(1-SETTINGS!$B$16)),$L77*(1-SETTINGS!$B$15)))</f>
        <v/>
      </c>
      <c r="P77">
        <f>IF($M77="","",$M77-AVERAGE($M$6:$M$143))</f>
        <v/>
      </c>
      <c r="Q77" t="n">
        <v>1.1</v>
      </c>
      <c r="R77" s="1" t="n">
        <v>46222</v>
      </c>
      <c r="S77" t="inlineStr">
        <is>
          <t>https://www.teamrankings.com/college-football/ranking/predictive-by-other</t>
        </is>
      </c>
      <c r="T77">
        <f>IF($Q77="","",$Q77-AVERAGE($Q$6:$Q$143))</f>
        <v/>
      </c>
      <c r="X77">
        <f>IF($U77="","",$U77-AVERAGE($U$6:$U$143))</f>
        <v/>
      </c>
      <c r="Y77">
        <f>IF($A77="","",SETTINGS!$B$28*ISNUMBER($G77)+SETTINGS!$B$29*ISNUMBER($K77)+SETTINGS!$B$30*ISNUMBER($P77)+SETTINGS!$B$31*ISNUMBER($T77)+SETTINGS!$B$32*ISNUMBER($X77))</f>
        <v/>
      </c>
      <c r="Z77">
        <f>IF($A77="","",IF($Y77=0,"",(SETTINGS!$B$28*IF(ISNUMBER($G77),$G77,0)+SETTINGS!$B$29*IF(ISNUMBER($K77),$K77,0)+SETTINGS!$B$30*IF(ISNUMBER($P77),$P77,0)+SETTINGS!$B$31*IF(ISNUMBER($T77),$T77,0)+SETTINGS!$B$32*IF(ISNUMBER($X77),$X77,0))/$Y77))</f>
        <v/>
      </c>
      <c r="AA77">
        <f>IF($A77="","",COUNT($D77,$H77,$L77,$Q77,$U77))</f>
        <v/>
      </c>
      <c r="AB77">
        <f>IF($A77="","",IF($AA77&lt;=1,"SINGLE-SOURCE / LOW CONFIDENCE",""))</f>
        <v/>
      </c>
      <c r="AC77">
        <f>IF($A77="","",IF(AND($C77="FBS-RECLASSIFYING",ISNUMBER($L77),$L77&lt;0),"NO-AUTO-UPGRADE GUARD APPLIED",""))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MAP'!$D78)</f>
        <v/>
      </c>
      <c r="D78" t="n">
        <v>-5.9</v>
      </c>
      <c r="E78" s="1" t="n">
        <v>46108</v>
      </c>
      <c r="F78" t="inlineStr">
        <is>
          <t>https://www.espn.com/college-football/story/_/id/48306284/2026-college-football-sp+-rankings-138-fbs-teams</t>
        </is>
      </c>
      <c r="G78">
        <f>IF($D78="","",$D78-AVERAGE($D$6:$D$143))</f>
        <v/>
      </c>
      <c r="H78" t="n">
        <v>-4.3</v>
      </c>
      <c r="I78" s="1" t="n">
        <v>46222</v>
      </c>
      <c r="J78" t="inlineStr">
        <is>
          <t>https://www.espn.com/college-football/fpi</t>
        </is>
      </c>
      <c r="K78">
        <f>IF($H78="","",$H78-AVERAGE($H$6:$H$143))</f>
        <v/>
      </c>
      <c r="M78">
        <f>IF($L78="","",IF($C78="FBS-RECLASSIFYING",IF($L78&lt;0,$L78,$L78*(1-SETTINGS!$B$16)),$L78*(1-SETTINGS!$B$15)))</f>
        <v/>
      </c>
      <c r="P78">
        <f>IF($M78="","",$M78-AVERAGE($M$6:$M$143))</f>
        <v/>
      </c>
      <c r="Q78" t="n">
        <v>-2</v>
      </c>
      <c r="R78" s="1" t="n">
        <v>46222</v>
      </c>
      <c r="S78" t="inlineStr">
        <is>
          <t>https://www.teamrankings.com/college-football/ranking/predictive-by-other</t>
        </is>
      </c>
      <c r="T78">
        <f>IF($Q78="","",$Q78-AVERAGE($Q$6:$Q$143))</f>
        <v/>
      </c>
      <c r="X78">
        <f>IF($U78="","",$U78-AVERAGE($U$6:$U$143))</f>
        <v/>
      </c>
      <c r="Y78">
        <f>IF($A78="","",SETTINGS!$B$28*ISNUMBER($G78)+SETTINGS!$B$29*ISNUMBER($K78)+SETTINGS!$B$30*ISNUMBER($P78)+SETTINGS!$B$31*ISNUMBER($T78)+SETTINGS!$B$32*ISNUMBER($X78))</f>
        <v/>
      </c>
      <c r="Z78">
        <f>IF($A78="","",IF($Y78=0,"",(SETTINGS!$B$28*IF(ISNUMBER($G78),$G78,0)+SETTINGS!$B$29*IF(ISNUMBER($K78),$K78,0)+SETTINGS!$B$30*IF(ISNUMBER($P78),$P78,0)+SETTINGS!$B$31*IF(ISNUMBER($T78),$T78,0)+SETTINGS!$B$32*IF(ISNUMBER($X78),$X78,0))/$Y78))</f>
        <v/>
      </c>
      <c r="AA78">
        <f>IF($A78="","",COUNT($D78,$H78,$L78,$Q78,$U78))</f>
        <v/>
      </c>
      <c r="AB78">
        <f>IF($A78="","",IF($AA78&lt;=1,"SINGLE-SOURCE / LOW CONFIDENCE",""))</f>
        <v/>
      </c>
      <c r="AC78">
        <f>IF($A78="","",IF(AND($C78="FBS-RECLASSIFYING",ISNUMBER($L78),$L78&lt;0),"NO-AUTO-UPGRADE GUARD APPLIED",""))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MAP'!$D79)</f>
        <v/>
      </c>
      <c r="D79" t="n">
        <v>-7.7</v>
      </c>
      <c r="E79" s="1" t="n">
        <v>46108</v>
      </c>
      <c r="F79" t="inlineStr">
        <is>
          <t>https://www.espn.com/college-football/story/_/id/48306284/2026-college-football-sp+-rankings-138-fbs-teams</t>
        </is>
      </c>
      <c r="G79">
        <f>IF($D79="","",$D79-AVERAGE($D$6:$D$143))</f>
        <v/>
      </c>
      <c r="H79" t="n">
        <v>-6.7</v>
      </c>
      <c r="I79" s="1" t="n">
        <v>46222</v>
      </c>
      <c r="J79" t="inlineStr">
        <is>
          <t>https://www.espn.com/college-football/fpi</t>
        </is>
      </c>
      <c r="K79">
        <f>IF($H79="","",$H79-AVERAGE($H$6:$H$143))</f>
        <v/>
      </c>
      <c r="M79">
        <f>IF($L79="","",IF($C79="FBS-RECLASSIFYING",IF($L79&lt;0,$L79,$L79*(1-SETTINGS!$B$16)),$L79*(1-SETTINGS!$B$15)))</f>
        <v/>
      </c>
      <c r="P79">
        <f>IF($M79="","",$M79-AVERAGE($M$6:$M$143))</f>
        <v/>
      </c>
      <c r="Q79" t="n">
        <v>-3.8</v>
      </c>
      <c r="R79" s="1" t="n">
        <v>46222</v>
      </c>
      <c r="S79" t="inlineStr">
        <is>
          <t>https://www.teamrankings.com/college-football/ranking/predictive-by-other</t>
        </is>
      </c>
      <c r="T79">
        <f>IF($Q79="","",$Q79-AVERAGE($Q$6:$Q$143))</f>
        <v/>
      </c>
      <c r="X79">
        <f>IF($U79="","",$U79-AVERAGE($U$6:$U$143))</f>
        <v/>
      </c>
      <c r="Y79">
        <f>IF($A79="","",SETTINGS!$B$28*ISNUMBER($G79)+SETTINGS!$B$29*ISNUMBER($K79)+SETTINGS!$B$30*ISNUMBER($P79)+SETTINGS!$B$31*ISNUMBER($T79)+SETTINGS!$B$32*ISNUMBER($X79))</f>
        <v/>
      </c>
      <c r="Z79">
        <f>IF($A79="","",IF($Y79=0,"",(SETTINGS!$B$28*IF(ISNUMBER($G79),$G79,0)+SETTINGS!$B$29*IF(ISNUMBER($K79),$K79,0)+SETTINGS!$B$30*IF(ISNUMBER($P79),$P79,0)+SETTINGS!$B$31*IF(ISNUMBER($T79),$T79,0)+SETTINGS!$B$32*IF(ISNUMBER($X79),$X79,0))/$Y79))</f>
        <v/>
      </c>
      <c r="AA79">
        <f>IF($A79="","",COUNT($D79,$H79,$L79,$Q79,$U79))</f>
        <v/>
      </c>
      <c r="AB79">
        <f>IF($A79="","",IF($AA79&lt;=1,"SINGLE-SOURCE / LOW CONFIDENCE",""))</f>
        <v/>
      </c>
      <c r="AC79">
        <f>IF($A79="","",IF(AND($C79="FBS-RECLASSIFYING",ISNUMBER($L79),$L79&lt;0),"NO-AUTO-UPGRADE GUARD APPLIED",""))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MAP'!$D80)</f>
        <v/>
      </c>
      <c r="D80" t="n">
        <v>-5.3</v>
      </c>
      <c r="E80" s="1" t="n">
        <v>46108</v>
      </c>
      <c r="F80" t="inlineStr">
        <is>
          <t>https://www.espn.com/college-football/story/_/id/48306284/2026-college-football-sp+-rankings-138-fbs-teams</t>
        </is>
      </c>
      <c r="G80">
        <f>IF($D80="","",$D80-AVERAGE($D$6:$D$143))</f>
        <v/>
      </c>
      <c r="H80" t="n">
        <v>-4.1</v>
      </c>
      <c r="I80" s="1" t="n">
        <v>46222</v>
      </c>
      <c r="J80" t="inlineStr">
        <is>
          <t>https://www.espn.com/college-football/fpi</t>
        </is>
      </c>
      <c r="K80">
        <f>IF($H80="","",$H80-AVERAGE($H$6:$H$143))</f>
        <v/>
      </c>
      <c r="M80">
        <f>IF($L80="","",IF($C80="FBS-RECLASSIFYING",IF($L80&lt;0,$L80,$L80*(1-SETTINGS!$B$16)),$L80*(1-SETTINGS!$B$15)))</f>
        <v/>
      </c>
      <c r="P80">
        <f>IF($M80="","",$M80-AVERAGE($M$6:$M$143))</f>
        <v/>
      </c>
      <c r="Q80" t="n">
        <v>-1.6</v>
      </c>
      <c r="R80" s="1" t="n">
        <v>46222</v>
      </c>
      <c r="S80" t="inlineStr">
        <is>
          <t>https://www.teamrankings.com/college-football/ranking/predictive-by-other</t>
        </is>
      </c>
      <c r="T80">
        <f>IF($Q80="","",$Q80-AVERAGE($Q$6:$Q$143))</f>
        <v/>
      </c>
      <c r="X80">
        <f>IF($U80="","",$U80-AVERAGE($U$6:$U$143))</f>
        <v/>
      </c>
      <c r="Y80">
        <f>IF($A80="","",SETTINGS!$B$28*ISNUMBER($G80)+SETTINGS!$B$29*ISNUMBER($K80)+SETTINGS!$B$30*ISNUMBER($P80)+SETTINGS!$B$31*ISNUMBER($T80)+SETTINGS!$B$32*ISNUMBER($X80))</f>
        <v/>
      </c>
      <c r="Z80">
        <f>IF($A80="","",IF($Y80=0,"",(SETTINGS!$B$28*IF(ISNUMBER($G80),$G80,0)+SETTINGS!$B$29*IF(ISNUMBER($K80),$K80,0)+SETTINGS!$B$30*IF(ISNUMBER($P80),$P80,0)+SETTINGS!$B$31*IF(ISNUMBER($T80),$T80,0)+SETTINGS!$B$32*IF(ISNUMBER($X80),$X80,0))/$Y80))</f>
        <v/>
      </c>
      <c r="AA80">
        <f>IF($A80="","",COUNT($D80,$H80,$L80,$Q80,$U80))</f>
        <v/>
      </c>
      <c r="AB80">
        <f>IF($A80="","",IF($AA80&lt;=1,"SINGLE-SOURCE / LOW CONFIDENCE",""))</f>
        <v/>
      </c>
      <c r="AC80">
        <f>IF($A80="","",IF(AND($C80="FBS-RECLASSIFYING",ISNUMBER($L80),$L80&lt;0),"NO-AUTO-UPGRADE GUARD APPLIED",""))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MAP'!$D81)</f>
        <v/>
      </c>
      <c r="D81" t="n">
        <v>-3</v>
      </c>
      <c r="E81" s="1" t="n">
        <v>46108</v>
      </c>
      <c r="F81" t="inlineStr">
        <is>
          <t>https://www.espn.com/college-football/story/_/id/48306284/2026-college-football-sp+-rankings-138-fbs-teams</t>
        </is>
      </c>
      <c r="G81">
        <f>IF($D81="","",$D81-AVERAGE($D$6:$D$143))</f>
        <v/>
      </c>
      <c r="H81" t="n">
        <v>-5.6</v>
      </c>
      <c r="I81" s="1" t="n">
        <v>46222</v>
      </c>
      <c r="J81" t="inlineStr">
        <is>
          <t>https://www.espn.com/college-football/fpi</t>
        </is>
      </c>
      <c r="K81">
        <f>IF($H81="","",$H81-AVERAGE($H$6:$H$143))</f>
        <v/>
      </c>
      <c r="M81">
        <f>IF($L81="","",IF($C81="FBS-RECLASSIFYING",IF($L81&lt;0,$L81,$L81*(1-SETTINGS!$B$16)),$L81*(1-SETTINGS!$B$15)))</f>
        <v/>
      </c>
      <c r="P81">
        <f>IF($M81="","",$M81-AVERAGE($M$6:$M$143))</f>
        <v/>
      </c>
      <c r="Q81" t="n">
        <v>-1.2</v>
      </c>
      <c r="R81" s="1" t="n">
        <v>46222</v>
      </c>
      <c r="S81" t="inlineStr">
        <is>
          <t>https://www.teamrankings.com/college-football/ranking/predictive-by-other</t>
        </is>
      </c>
      <c r="T81">
        <f>IF($Q81="","",$Q81-AVERAGE($Q$6:$Q$143))</f>
        <v/>
      </c>
      <c r="X81">
        <f>IF($U81="","",$U81-AVERAGE($U$6:$U$143))</f>
        <v/>
      </c>
      <c r="Y81">
        <f>IF($A81="","",SETTINGS!$B$28*ISNUMBER($G81)+SETTINGS!$B$29*ISNUMBER($K81)+SETTINGS!$B$30*ISNUMBER($P81)+SETTINGS!$B$31*ISNUMBER($T81)+SETTINGS!$B$32*ISNUMBER($X81))</f>
        <v/>
      </c>
      <c r="Z81">
        <f>IF($A81="","",IF($Y81=0,"",(SETTINGS!$B$28*IF(ISNUMBER($G81),$G81,0)+SETTINGS!$B$29*IF(ISNUMBER($K81),$K81,0)+SETTINGS!$B$30*IF(ISNUMBER($P81),$P81,0)+SETTINGS!$B$31*IF(ISNUMBER($T81),$T81,0)+SETTINGS!$B$32*IF(ISNUMBER($X81),$X81,0))/$Y81))</f>
        <v/>
      </c>
      <c r="AA81">
        <f>IF($A81="","",COUNT($D81,$H81,$L81,$Q81,$U81))</f>
        <v/>
      </c>
      <c r="AB81">
        <f>IF($A81="","",IF($AA81&lt;=1,"SINGLE-SOURCE / LOW CONFIDENCE",""))</f>
        <v/>
      </c>
      <c r="AC81">
        <f>IF($A81="","",IF(AND($C81="FBS-RECLASSIFYING",ISNUMBER($L81),$L81&lt;0),"NO-AUTO-UPGRADE GUARD APPLIED",""))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MAP'!$D82)</f>
        <v/>
      </c>
      <c r="D82" t="n">
        <v>-32.4</v>
      </c>
      <c r="E82" s="1" t="n">
        <v>46108</v>
      </c>
      <c r="F82" t="inlineStr">
        <is>
          <t>https://www.espn.com/college-football/story/_/id/48306284/2026-college-football-sp+-rankings-138-fbs-teams</t>
        </is>
      </c>
      <c r="G82">
        <f>IF($D82="","",$D82-AVERAGE($D$6:$D$143))</f>
        <v/>
      </c>
      <c r="H82" t="n">
        <v>-14.6</v>
      </c>
      <c r="I82" s="1" t="n">
        <v>46222</v>
      </c>
      <c r="J82" t="inlineStr">
        <is>
          <t>https://www.espn.com/college-football/fpi</t>
        </is>
      </c>
      <c r="K82">
        <f>IF($H82="","",$H82-AVERAGE($H$6:$H$143))</f>
        <v/>
      </c>
      <c r="M82">
        <f>IF($L82="","",IF($C82="FBS-RECLASSIFYING",IF($L82&lt;0,$L82,$L82*(1-SETTINGS!$B$16)),$L82*(1-SETTINGS!$B$15)))</f>
        <v/>
      </c>
      <c r="P82">
        <f>IF($M82="","",$M82-AVERAGE($M$6:$M$143))</f>
        <v/>
      </c>
      <c r="Q82" t="n">
        <v>-23.3</v>
      </c>
      <c r="R82" s="1" t="n">
        <v>46222</v>
      </c>
      <c r="S82" t="inlineStr">
        <is>
          <t>https://www.teamrankings.com/college-football/ranking/predictive-by-other</t>
        </is>
      </c>
      <c r="T82">
        <f>IF($Q82="","",$Q82-AVERAGE($Q$6:$Q$143))</f>
        <v/>
      </c>
      <c r="X82">
        <f>IF($U82="","",$U82-AVERAGE($U$6:$U$143))</f>
        <v/>
      </c>
      <c r="Y82">
        <f>IF($A82="","",SETTINGS!$B$28*ISNUMBER($G82)+SETTINGS!$B$29*ISNUMBER($K82)+SETTINGS!$B$30*ISNUMBER($P82)+SETTINGS!$B$31*ISNUMBER($T82)+SETTINGS!$B$32*ISNUMBER($X82))</f>
        <v/>
      </c>
      <c r="Z82">
        <f>IF($A82="","",IF($Y82=0,"",(SETTINGS!$B$28*IF(ISNUMBER($G82),$G82,0)+SETTINGS!$B$29*IF(ISNUMBER($K82),$K82,0)+SETTINGS!$B$30*IF(ISNUMBER($P82),$P82,0)+SETTINGS!$B$31*IF(ISNUMBER($T82),$T82,0)+SETTINGS!$B$32*IF(ISNUMBER($X82),$X82,0))/$Y82))</f>
        <v/>
      </c>
      <c r="AA82">
        <f>IF($A82="","",COUNT($D82,$H82,$L82,$Q82,$U82))</f>
        <v/>
      </c>
      <c r="AB82">
        <f>IF($A82="","",IF($AA82&lt;=1,"SINGLE-SOURCE / LOW CONFIDENCE",""))</f>
        <v/>
      </c>
      <c r="AC82">
        <f>IF($A82="","",IF(AND($C82="FBS-RECLASSIFYING",ISNUMBER($L82),$L82&lt;0),"NO-AUTO-UPGRADE GUARD APPLIED",""))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MAP'!$D83)</f>
        <v/>
      </c>
      <c r="D83" t="n">
        <v>-2</v>
      </c>
      <c r="E83" s="1" t="n">
        <v>46108</v>
      </c>
      <c r="F83" t="inlineStr">
        <is>
          <t>https://www.espn.com/college-football/story/_/id/48306284/2026-college-football-sp+-rankings-138-fbs-teams</t>
        </is>
      </c>
      <c r="G83">
        <f>IF($D83="","",$D83-AVERAGE($D$6:$D$143))</f>
        <v/>
      </c>
      <c r="H83" t="n">
        <v>-0.6</v>
      </c>
      <c r="I83" s="1" t="n">
        <v>46222</v>
      </c>
      <c r="J83" t="inlineStr">
        <is>
          <t>https://www.espn.com/college-football/fpi</t>
        </is>
      </c>
      <c r="K83">
        <f>IF($H83="","",$H83-AVERAGE($H$6:$H$143))</f>
        <v/>
      </c>
      <c r="M83">
        <f>IF($L83="","",IF($C83="FBS-RECLASSIFYING",IF($L83&lt;0,$L83,$L83*(1-SETTINGS!$B$16)),$L83*(1-SETTINGS!$B$15)))</f>
        <v/>
      </c>
      <c r="P83">
        <f>IF($M83="","",$M83-AVERAGE($M$6:$M$143))</f>
        <v/>
      </c>
      <c r="Q83" t="n">
        <v>-3.7</v>
      </c>
      <c r="R83" s="1" t="n">
        <v>46222</v>
      </c>
      <c r="S83" t="inlineStr">
        <is>
          <t>https://www.teamrankings.com/college-football/ranking/predictive-by-other</t>
        </is>
      </c>
      <c r="T83">
        <f>IF($Q83="","",$Q83-AVERAGE($Q$6:$Q$143))</f>
        <v/>
      </c>
      <c r="X83">
        <f>IF($U83="","",$U83-AVERAGE($U$6:$U$143))</f>
        <v/>
      </c>
      <c r="Y83">
        <f>IF($A83="","",SETTINGS!$B$28*ISNUMBER($G83)+SETTINGS!$B$29*ISNUMBER($K83)+SETTINGS!$B$30*ISNUMBER($P83)+SETTINGS!$B$31*ISNUMBER($T83)+SETTINGS!$B$32*ISNUMBER($X83))</f>
        <v/>
      </c>
      <c r="Z83">
        <f>IF($A83="","",IF($Y83=0,"",(SETTINGS!$B$28*IF(ISNUMBER($G83),$G83,0)+SETTINGS!$B$29*IF(ISNUMBER($K83),$K83,0)+SETTINGS!$B$30*IF(ISNUMBER($P83),$P83,0)+SETTINGS!$B$31*IF(ISNUMBER($T83),$T83,0)+SETTINGS!$B$32*IF(ISNUMBER($X83),$X83,0))/$Y83))</f>
        <v/>
      </c>
      <c r="AA83">
        <f>IF($A83="","",COUNT($D83,$H83,$L83,$Q83,$U83))</f>
        <v/>
      </c>
      <c r="AB83">
        <f>IF($A83="","",IF($AA83&lt;=1,"SINGLE-SOURCE / LOW CONFIDENCE",""))</f>
        <v/>
      </c>
      <c r="AC83">
        <f>IF($A83="","",IF(AND($C83="FBS-RECLASSIFYING",ISNUMBER($L83),$L83&lt;0),"NO-AUTO-UPGRADE GUARD APPLIED",""))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MAP'!$D84)</f>
        <v/>
      </c>
      <c r="D84" t="n">
        <v>-7.1</v>
      </c>
      <c r="E84" s="1" t="n">
        <v>46108</v>
      </c>
      <c r="F84" t="inlineStr">
        <is>
          <t>https://www.espn.com/college-football/story/_/id/48306284/2026-college-football-sp+-rankings-138-fbs-teams</t>
        </is>
      </c>
      <c r="G84">
        <f>IF($D84="","",$D84-AVERAGE($D$6:$D$143))</f>
        <v/>
      </c>
      <c r="H84" t="n">
        <v>-11.3</v>
      </c>
      <c r="I84" s="1" t="n">
        <v>46222</v>
      </c>
      <c r="J84" t="inlineStr">
        <is>
          <t>https://www.espn.com/college-football/fpi</t>
        </is>
      </c>
      <c r="K84">
        <f>IF($H84="","",$H84-AVERAGE($H$6:$H$143))</f>
        <v/>
      </c>
      <c r="M84">
        <f>IF($L84="","",IF($C84="FBS-RECLASSIFYING",IF($L84&lt;0,$L84,$L84*(1-SETTINGS!$B$16)),$L84*(1-SETTINGS!$B$15)))</f>
        <v/>
      </c>
      <c r="P84">
        <f>IF($M84="","",$M84-AVERAGE($M$6:$M$143))</f>
        <v/>
      </c>
      <c r="Q84" t="n">
        <v>-8.699999999999999</v>
      </c>
      <c r="R84" s="1" t="n">
        <v>46222</v>
      </c>
      <c r="S84" t="inlineStr">
        <is>
          <t>https://www.teamrankings.com/college-football/ranking/predictive-by-other</t>
        </is>
      </c>
      <c r="T84">
        <f>IF($Q84="","",$Q84-AVERAGE($Q$6:$Q$143))</f>
        <v/>
      </c>
      <c r="X84">
        <f>IF($U84="","",$U84-AVERAGE($U$6:$U$143))</f>
        <v/>
      </c>
      <c r="Y84">
        <f>IF($A84="","",SETTINGS!$B$28*ISNUMBER($G84)+SETTINGS!$B$29*ISNUMBER($K84)+SETTINGS!$B$30*ISNUMBER($P84)+SETTINGS!$B$31*ISNUMBER($T84)+SETTINGS!$B$32*ISNUMBER($X84))</f>
        <v/>
      </c>
      <c r="Z84">
        <f>IF($A84="","",IF($Y84=0,"",(SETTINGS!$B$28*IF(ISNUMBER($G84),$G84,0)+SETTINGS!$B$29*IF(ISNUMBER($K84),$K84,0)+SETTINGS!$B$30*IF(ISNUMBER($P84),$P84,0)+SETTINGS!$B$31*IF(ISNUMBER($T84),$T84,0)+SETTINGS!$B$32*IF(ISNUMBER($X84),$X84,0))/$Y84))</f>
        <v/>
      </c>
      <c r="AA84">
        <f>IF($A84="","",COUNT($D84,$H84,$L84,$Q84,$U84))</f>
        <v/>
      </c>
      <c r="AB84">
        <f>IF($A84="","",IF($AA84&lt;=1,"SINGLE-SOURCE / LOW CONFIDENCE",""))</f>
        <v/>
      </c>
      <c r="AC84">
        <f>IF($A84="","",IF(AND($C84="FBS-RECLASSIFYING",ISNUMBER($L84),$L84&lt;0),"NO-AUTO-UPGRADE GUARD APPLIED",""))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MAP'!$D85)</f>
        <v/>
      </c>
      <c r="D85" t="n">
        <v>-1.1</v>
      </c>
      <c r="E85" s="1" t="n">
        <v>46108</v>
      </c>
      <c r="F85" t="inlineStr">
        <is>
          <t>https://www.espn.com/college-football/story/_/id/48306284/2026-college-football-sp+-rankings-138-fbs-teams</t>
        </is>
      </c>
      <c r="G85">
        <f>IF($D85="","",$D85-AVERAGE($D$6:$D$143))</f>
        <v/>
      </c>
      <c r="H85" t="n">
        <v>-1.9</v>
      </c>
      <c r="I85" s="1" t="n">
        <v>46222</v>
      </c>
      <c r="J85" t="inlineStr">
        <is>
          <t>https://www.espn.com/college-football/fpi</t>
        </is>
      </c>
      <c r="K85">
        <f>IF($H85="","",$H85-AVERAGE($H$6:$H$143))</f>
        <v/>
      </c>
      <c r="M85">
        <f>IF($L85="","",IF($C85="FBS-RECLASSIFYING",IF($L85&lt;0,$L85,$L85*(1-SETTINGS!$B$16)),$L85*(1-SETTINGS!$B$15)))</f>
        <v/>
      </c>
      <c r="P85">
        <f>IF($M85="","",$M85-AVERAGE($M$6:$M$143))</f>
        <v/>
      </c>
      <c r="Q85" t="n">
        <v>-1.5</v>
      </c>
      <c r="R85" s="1" t="n">
        <v>46222</v>
      </c>
      <c r="S85" t="inlineStr">
        <is>
          <t>https://www.teamrankings.com/college-football/ranking/predictive-by-other</t>
        </is>
      </c>
      <c r="T85">
        <f>IF($Q85="","",$Q85-AVERAGE($Q$6:$Q$143))</f>
        <v/>
      </c>
      <c r="X85">
        <f>IF($U85="","",$U85-AVERAGE($U$6:$U$143))</f>
        <v/>
      </c>
      <c r="Y85">
        <f>IF($A85="","",SETTINGS!$B$28*ISNUMBER($G85)+SETTINGS!$B$29*ISNUMBER($K85)+SETTINGS!$B$30*ISNUMBER($P85)+SETTINGS!$B$31*ISNUMBER($T85)+SETTINGS!$B$32*ISNUMBER($X85))</f>
        <v/>
      </c>
      <c r="Z85">
        <f>IF($A85="","",IF($Y85=0,"",(SETTINGS!$B$28*IF(ISNUMBER($G85),$G85,0)+SETTINGS!$B$29*IF(ISNUMBER($K85),$K85,0)+SETTINGS!$B$30*IF(ISNUMBER($P85),$P85,0)+SETTINGS!$B$31*IF(ISNUMBER($T85),$T85,0)+SETTINGS!$B$32*IF(ISNUMBER($X85),$X85,0))/$Y85))</f>
        <v/>
      </c>
      <c r="AA85">
        <f>IF($A85="","",COUNT($D85,$H85,$L85,$Q85,$U85))</f>
        <v/>
      </c>
      <c r="AB85">
        <f>IF($A85="","",IF($AA85&lt;=1,"SINGLE-SOURCE / LOW CONFIDENCE",""))</f>
        <v/>
      </c>
      <c r="AC85">
        <f>IF($A85="","",IF(AND($C85="FBS-RECLASSIFYING",ISNUMBER($L85),$L85&lt;0),"NO-AUTO-UPGRADE GUARD APPLIED",""))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MAP'!$D86)</f>
        <v/>
      </c>
      <c r="D86" t="n">
        <v>1.1</v>
      </c>
      <c r="E86" s="1" t="n">
        <v>46108</v>
      </c>
      <c r="F86" t="inlineStr">
        <is>
          <t>https://www.espn.com/college-football/story/_/id/48306284/2026-college-football-sp+-rankings-138-fbs-teams</t>
        </is>
      </c>
      <c r="G86">
        <f>IF($D86="","",$D86-AVERAGE($D$6:$D$143))</f>
        <v/>
      </c>
      <c r="H86" t="n">
        <v>-0.7</v>
      </c>
      <c r="I86" s="1" t="n">
        <v>46222</v>
      </c>
      <c r="J86" t="inlineStr">
        <is>
          <t>https://www.espn.com/college-football/fpi</t>
        </is>
      </c>
      <c r="K86">
        <f>IF($H86="","",$H86-AVERAGE($H$6:$H$143))</f>
        <v/>
      </c>
      <c r="M86">
        <f>IF($L86="","",IF($C86="FBS-RECLASSIFYING",IF($L86&lt;0,$L86,$L86*(1-SETTINGS!$B$16)),$L86*(1-SETTINGS!$B$15)))</f>
        <v/>
      </c>
      <c r="P86">
        <f>IF($M86="","",$M86-AVERAGE($M$6:$M$143))</f>
        <v/>
      </c>
      <c r="Q86" t="n">
        <v>0.9</v>
      </c>
      <c r="R86" s="1" t="n">
        <v>46222</v>
      </c>
      <c r="S86" t="inlineStr">
        <is>
          <t>https://www.teamrankings.com/college-football/ranking/predictive-by-other</t>
        </is>
      </c>
      <c r="T86">
        <f>IF($Q86="","",$Q86-AVERAGE($Q$6:$Q$143))</f>
        <v/>
      </c>
      <c r="X86">
        <f>IF($U86="","",$U86-AVERAGE($U$6:$U$143))</f>
        <v/>
      </c>
      <c r="Y86">
        <f>IF($A86="","",SETTINGS!$B$28*ISNUMBER($G86)+SETTINGS!$B$29*ISNUMBER($K86)+SETTINGS!$B$30*ISNUMBER($P86)+SETTINGS!$B$31*ISNUMBER($T86)+SETTINGS!$B$32*ISNUMBER($X86))</f>
        <v/>
      </c>
      <c r="Z86">
        <f>IF($A86="","",IF($Y86=0,"",(SETTINGS!$B$28*IF(ISNUMBER($G86),$G86,0)+SETTINGS!$B$29*IF(ISNUMBER($K86),$K86,0)+SETTINGS!$B$30*IF(ISNUMBER($P86),$P86,0)+SETTINGS!$B$31*IF(ISNUMBER($T86),$T86,0)+SETTINGS!$B$32*IF(ISNUMBER($X86),$X86,0))/$Y86))</f>
        <v/>
      </c>
      <c r="AA86">
        <f>IF($A86="","",COUNT($D86,$H86,$L86,$Q86,$U86))</f>
        <v/>
      </c>
      <c r="AB86">
        <f>IF($A86="","",IF($AA86&lt;=1,"SINGLE-SOURCE / LOW CONFIDENCE",""))</f>
        <v/>
      </c>
      <c r="AC86">
        <f>IF($A86="","",IF(AND($C86="FBS-RECLASSIFYING",ISNUMBER($L86),$L86&lt;0),"NO-AUTO-UPGRADE GUARD APPLIED",""))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MAP'!$D87)</f>
        <v/>
      </c>
      <c r="D87" t="n">
        <v>-11.8</v>
      </c>
      <c r="E87" s="1" t="n">
        <v>46108</v>
      </c>
      <c r="F87" t="inlineStr">
        <is>
          <t>https://www.espn.com/college-football/story/_/id/48306284/2026-college-football-sp+-rankings-138-fbs-teams</t>
        </is>
      </c>
      <c r="G87">
        <f>IF($D87="","",$D87-AVERAGE($D$6:$D$143))</f>
        <v/>
      </c>
      <c r="H87" t="n">
        <v>-6.4</v>
      </c>
      <c r="I87" s="1" t="n">
        <v>46222</v>
      </c>
      <c r="J87" t="inlineStr">
        <is>
          <t>https://www.espn.com/college-football/fpi</t>
        </is>
      </c>
      <c r="K87">
        <f>IF($H87="","",$H87-AVERAGE($H$6:$H$143))</f>
        <v/>
      </c>
      <c r="M87">
        <f>IF($L87="","",IF($C87="FBS-RECLASSIFYING",IF($L87&lt;0,$L87,$L87*(1-SETTINGS!$B$16)),$L87*(1-SETTINGS!$B$15)))</f>
        <v/>
      </c>
      <c r="P87">
        <f>IF($M87="","",$M87-AVERAGE($M$6:$M$143))</f>
        <v/>
      </c>
      <c r="Q87" t="n">
        <v>-8.699999999999999</v>
      </c>
      <c r="R87" s="1" t="n">
        <v>46222</v>
      </c>
      <c r="S87" t="inlineStr">
        <is>
          <t>https://www.teamrankings.com/college-football/ranking/predictive-by-other</t>
        </is>
      </c>
      <c r="T87">
        <f>IF($Q87="","",$Q87-AVERAGE($Q$6:$Q$143))</f>
        <v/>
      </c>
      <c r="X87">
        <f>IF($U87="","",$U87-AVERAGE($U$6:$U$143))</f>
        <v/>
      </c>
      <c r="Y87">
        <f>IF($A87="","",SETTINGS!$B$28*ISNUMBER($G87)+SETTINGS!$B$29*ISNUMBER($K87)+SETTINGS!$B$30*ISNUMBER($P87)+SETTINGS!$B$31*ISNUMBER($T87)+SETTINGS!$B$32*ISNUMBER($X87))</f>
        <v/>
      </c>
      <c r="Z87">
        <f>IF($A87="","",IF($Y87=0,"",(SETTINGS!$B$28*IF(ISNUMBER($G87),$G87,0)+SETTINGS!$B$29*IF(ISNUMBER($K87),$K87,0)+SETTINGS!$B$30*IF(ISNUMBER($P87),$P87,0)+SETTINGS!$B$31*IF(ISNUMBER($T87),$T87,0)+SETTINGS!$B$32*IF(ISNUMBER($X87),$X87,0))/$Y87))</f>
        <v/>
      </c>
      <c r="AA87">
        <f>IF($A87="","",COUNT($D87,$H87,$L87,$Q87,$U87))</f>
        <v/>
      </c>
      <c r="AB87">
        <f>IF($A87="","",IF($AA87&lt;=1,"SINGLE-SOURCE / LOW CONFIDENCE",""))</f>
        <v/>
      </c>
      <c r="AC87">
        <f>IF($A87="","",IF(AND($C87="FBS-RECLASSIFYING",ISNUMBER($L87),$L87&lt;0),"NO-AUTO-UPGRADE GUARD APPLIED",""))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MAP'!$D88)</f>
        <v/>
      </c>
      <c r="D88" t="n">
        <v>-14.7</v>
      </c>
      <c r="E88" s="1" t="n">
        <v>46108</v>
      </c>
      <c r="F88" t="inlineStr">
        <is>
          <t>https://www.espn.com/college-football/story/_/id/48306284/2026-college-football-sp+-rankings-138-fbs-teams</t>
        </is>
      </c>
      <c r="G88">
        <f>IF($D88="","",$D88-AVERAGE($D$6:$D$143))</f>
        <v/>
      </c>
      <c r="H88" t="n">
        <v>-13.4</v>
      </c>
      <c r="I88" s="1" t="n">
        <v>46222</v>
      </c>
      <c r="J88" t="inlineStr">
        <is>
          <t>https://www.espn.com/college-football/fpi</t>
        </is>
      </c>
      <c r="K88">
        <f>IF($H88="","",$H88-AVERAGE($H$6:$H$143))</f>
        <v/>
      </c>
      <c r="M88">
        <f>IF($L88="","",IF($C88="FBS-RECLASSIFYING",IF($L88&lt;0,$L88,$L88*(1-SETTINGS!$B$16)),$L88*(1-SETTINGS!$B$15)))</f>
        <v/>
      </c>
      <c r="P88">
        <f>IF($M88="","",$M88-AVERAGE($M$6:$M$143))</f>
        <v/>
      </c>
      <c r="Q88" t="n">
        <v>-15.2</v>
      </c>
      <c r="R88" s="1" t="n">
        <v>46222</v>
      </c>
      <c r="S88" t="inlineStr">
        <is>
          <t>https://www.teamrankings.com/college-football/ranking/predictive-by-other</t>
        </is>
      </c>
      <c r="T88">
        <f>IF($Q88="","",$Q88-AVERAGE($Q$6:$Q$143))</f>
        <v/>
      </c>
      <c r="X88">
        <f>IF($U88="","",$U88-AVERAGE($U$6:$U$143))</f>
        <v/>
      </c>
      <c r="Y88">
        <f>IF($A88="","",SETTINGS!$B$28*ISNUMBER($G88)+SETTINGS!$B$29*ISNUMBER($K88)+SETTINGS!$B$30*ISNUMBER($P88)+SETTINGS!$B$31*ISNUMBER($T88)+SETTINGS!$B$32*ISNUMBER($X88))</f>
        <v/>
      </c>
      <c r="Z88">
        <f>IF($A88="","",IF($Y88=0,"",(SETTINGS!$B$28*IF(ISNUMBER($G88),$G88,0)+SETTINGS!$B$29*IF(ISNUMBER($K88),$K88,0)+SETTINGS!$B$30*IF(ISNUMBER($P88),$P88,0)+SETTINGS!$B$31*IF(ISNUMBER($T88),$T88,0)+SETTINGS!$B$32*IF(ISNUMBER($X88),$X88,0))/$Y88))</f>
        <v/>
      </c>
      <c r="AA88">
        <f>IF($A88="","",COUNT($D88,$H88,$L88,$Q88,$U88))</f>
        <v/>
      </c>
      <c r="AB88">
        <f>IF($A88="","",IF($AA88&lt;=1,"SINGLE-SOURCE / LOW CONFIDENCE",""))</f>
        <v/>
      </c>
      <c r="AC88">
        <f>IF($A88="","",IF(AND($C88="FBS-RECLASSIFYING",ISNUMBER($L88),$L88&lt;0),"NO-AUTO-UPGRADE GUARD APPLIED",""))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MAP'!$D89)</f>
        <v/>
      </c>
      <c r="D89" t="n">
        <v>-2.8</v>
      </c>
      <c r="E89" s="1" t="n">
        <v>46108</v>
      </c>
      <c r="F89" t="inlineStr">
        <is>
          <t>https://www.espn.com/college-football/story/_/id/48306284/2026-college-football-sp+-rankings-138-fbs-teams</t>
        </is>
      </c>
      <c r="G89">
        <f>IF($D89="","",$D89-AVERAGE($D$6:$D$143))</f>
        <v/>
      </c>
      <c r="H89" t="n">
        <v>-0.9</v>
      </c>
      <c r="I89" s="1" t="n">
        <v>46222</v>
      </c>
      <c r="J89" t="inlineStr">
        <is>
          <t>https://www.espn.com/college-football/fpi</t>
        </is>
      </c>
      <c r="K89">
        <f>IF($H89="","",$H89-AVERAGE($H$6:$H$143))</f>
        <v/>
      </c>
      <c r="M89">
        <f>IF($L89="","",IF($C89="FBS-RECLASSIFYING",IF($L89&lt;0,$L89,$L89*(1-SETTINGS!$B$16)),$L89*(1-SETTINGS!$B$15)))</f>
        <v/>
      </c>
      <c r="P89">
        <f>IF($M89="","",$M89-AVERAGE($M$6:$M$143))</f>
        <v/>
      </c>
      <c r="Q89" t="n">
        <v>-2.4</v>
      </c>
      <c r="R89" s="1" t="n">
        <v>46222</v>
      </c>
      <c r="S89" t="inlineStr">
        <is>
          <t>https://www.teamrankings.com/college-football/ranking/predictive-by-other</t>
        </is>
      </c>
      <c r="T89">
        <f>IF($Q89="","",$Q89-AVERAGE($Q$6:$Q$143))</f>
        <v/>
      </c>
      <c r="X89">
        <f>IF($U89="","",$U89-AVERAGE($U$6:$U$143))</f>
        <v/>
      </c>
      <c r="Y89">
        <f>IF($A89="","",SETTINGS!$B$28*ISNUMBER($G89)+SETTINGS!$B$29*ISNUMBER($K89)+SETTINGS!$B$30*ISNUMBER($P89)+SETTINGS!$B$31*ISNUMBER($T89)+SETTINGS!$B$32*ISNUMBER($X89))</f>
        <v/>
      </c>
      <c r="Z89">
        <f>IF($A89="","",IF($Y89=0,"",(SETTINGS!$B$28*IF(ISNUMBER($G89),$G89,0)+SETTINGS!$B$29*IF(ISNUMBER($K89),$K89,0)+SETTINGS!$B$30*IF(ISNUMBER($P89),$P89,0)+SETTINGS!$B$31*IF(ISNUMBER($T89),$T89,0)+SETTINGS!$B$32*IF(ISNUMBER($X89),$X89,0))/$Y89))</f>
        <v/>
      </c>
      <c r="AA89">
        <f>IF($A89="","",COUNT($D89,$H89,$L89,$Q89,$U89))</f>
        <v/>
      </c>
      <c r="AB89">
        <f>IF($A89="","",IF($AA89&lt;=1,"SINGLE-SOURCE / LOW CONFIDENCE",""))</f>
        <v/>
      </c>
      <c r="AC89">
        <f>IF($A89="","",IF(AND($C89="FBS-RECLASSIFYING",ISNUMBER($L89),$L89&lt;0),"NO-AUTO-UPGRADE GUARD APPLIED",""))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MAP'!$D90)</f>
        <v/>
      </c>
      <c r="D90" t="n">
        <v>-8.699999999999999</v>
      </c>
      <c r="E90" s="1" t="n">
        <v>46108</v>
      </c>
      <c r="F90" t="inlineStr">
        <is>
          <t>https://www.espn.com/college-football/story/_/id/48306284/2026-college-football-sp+-rankings-138-fbs-teams</t>
        </is>
      </c>
      <c r="G90">
        <f>IF($D90="","",$D90-AVERAGE($D$6:$D$143))</f>
        <v/>
      </c>
      <c r="H90" t="n">
        <v>-8.6</v>
      </c>
      <c r="I90" s="1" t="n">
        <v>46222</v>
      </c>
      <c r="J90" t="inlineStr">
        <is>
          <t>https://www.espn.com/college-football/fpi</t>
        </is>
      </c>
      <c r="K90">
        <f>IF($H90="","",$H90-AVERAGE($H$6:$H$143))</f>
        <v/>
      </c>
      <c r="M90">
        <f>IF($L90="","",IF($C90="FBS-RECLASSIFYING",IF($L90&lt;0,$L90,$L90*(1-SETTINGS!$B$16)),$L90*(1-SETTINGS!$B$15)))</f>
        <v/>
      </c>
      <c r="P90">
        <f>IF($M90="","",$M90-AVERAGE($M$6:$M$143))</f>
        <v/>
      </c>
      <c r="Q90" t="n">
        <v>-10.9</v>
      </c>
      <c r="R90" s="1" t="n">
        <v>46222</v>
      </c>
      <c r="S90" t="inlineStr">
        <is>
          <t>https://www.teamrankings.com/college-football/ranking/predictive-by-other</t>
        </is>
      </c>
      <c r="T90">
        <f>IF($Q90="","",$Q90-AVERAGE($Q$6:$Q$143))</f>
        <v/>
      </c>
      <c r="X90">
        <f>IF($U90="","",$U90-AVERAGE($U$6:$U$143))</f>
        <v/>
      </c>
      <c r="Y90">
        <f>IF($A90="","",SETTINGS!$B$28*ISNUMBER($G90)+SETTINGS!$B$29*ISNUMBER($K90)+SETTINGS!$B$30*ISNUMBER($P90)+SETTINGS!$B$31*ISNUMBER($T90)+SETTINGS!$B$32*ISNUMBER($X90))</f>
        <v/>
      </c>
      <c r="Z90">
        <f>IF($A90="","",IF($Y90=0,"",(SETTINGS!$B$28*IF(ISNUMBER($G90),$G90,0)+SETTINGS!$B$29*IF(ISNUMBER($K90),$K90,0)+SETTINGS!$B$30*IF(ISNUMBER($P90),$P90,0)+SETTINGS!$B$31*IF(ISNUMBER($T90),$T90,0)+SETTINGS!$B$32*IF(ISNUMBER($X90),$X90,0))/$Y90))</f>
        <v/>
      </c>
      <c r="AA90">
        <f>IF($A90="","",COUNT($D90,$H90,$L90,$Q90,$U90))</f>
        <v/>
      </c>
      <c r="AB90">
        <f>IF($A90="","",IF($AA90&lt;=1,"SINGLE-SOURCE / LOW CONFIDENCE",""))</f>
        <v/>
      </c>
      <c r="AC90">
        <f>IF($A90="","",IF(AND($C90="FBS-RECLASSIFYING",ISNUMBER($L90),$L90&lt;0),"NO-AUTO-UPGRADE GUARD APPLIED",""))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MAP'!$D91)</f>
        <v/>
      </c>
      <c r="D91" t="n">
        <v>-5.5</v>
      </c>
      <c r="E91" s="1" t="n">
        <v>46108</v>
      </c>
      <c r="F91" t="inlineStr">
        <is>
          <t>https://www.espn.com/college-football/story/_/id/48306284/2026-college-football-sp+-rankings-138-fbs-teams</t>
        </is>
      </c>
      <c r="G91">
        <f>IF($D91="","",$D91-AVERAGE($D$6:$D$143))</f>
        <v/>
      </c>
      <c r="H91" t="n">
        <v>2.3</v>
      </c>
      <c r="I91" s="1" t="n">
        <v>46222</v>
      </c>
      <c r="J91" t="inlineStr">
        <is>
          <t>https://www.espn.com/college-football/fpi</t>
        </is>
      </c>
      <c r="K91">
        <f>IF($H91="","",$H91-AVERAGE($H$6:$H$143))</f>
        <v/>
      </c>
      <c r="M91">
        <f>IF($L91="","",IF($C91="FBS-RECLASSIFYING",IF($L91&lt;0,$L91,$L91*(1-SETTINGS!$B$16)),$L91*(1-SETTINGS!$B$15)))</f>
        <v/>
      </c>
      <c r="P91">
        <f>IF($M91="","",$M91-AVERAGE($M$6:$M$143))</f>
        <v/>
      </c>
      <c r="Q91" t="n">
        <v>-2.8</v>
      </c>
      <c r="R91" s="1" t="n">
        <v>46222</v>
      </c>
      <c r="S91" t="inlineStr">
        <is>
          <t>https://www.teamrankings.com/college-football/ranking/predictive-by-other</t>
        </is>
      </c>
      <c r="T91">
        <f>IF($Q91="","",$Q91-AVERAGE($Q$6:$Q$143))</f>
        <v/>
      </c>
      <c r="X91">
        <f>IF($U91="","",$U91-AVERAGE($U$6:$U$143))</f>
        <v/>
      </c>
      <c r="Y91">
        <f>IF($A91="","",SETTINGS!$B$28*ISNUMBER($G91)+SETTINGS!$B$29*ISNUMBER($K91)+SETTINGS!$B$30*ISNUMBER($P91)+SETTINGS!$B$31*ISNUMBER($T91)+SETTINGS!$B$32*ISNUMBER($X91))</f>
        <v/>
      </c>
      <c r="Z91">
        <f>IF($A91="","",IF($Y91=0,"",(SETTINGS!$B$28*IF(ISNUMBER($G91),$G91,0)+SETTINGS!$B$29*IF(ISNUMBER($K91),$K91,0)+SETTINGS!$B$30*IF(ISNUMBER($P91),$P91,0)+SETTINGS!$B$31*IF(ISNUMBER($T91),$T91,0)+SETTINGS!$B$32*IF(ISNUMBER($X91),$X91,0))/$Y91))</f>
        <v/>
      </c>
      <c r="AA91">
        <f>IF($A91="","",COUNT($D91,$H91,$L91,$Q91,$U91))</f>
        <v/>
      </c>
      <c r="AB91">
        <f>IF($A91="","",IF($AA91&lt;=1,"SINGLE-SOURCE / LOW CONFIDENCE",""))</f>
        <v/>
      </c>
      <c r="AC91">
        <f>IF($A91="","",IF(AND($C91="FBS-RECLASSIFYING",ISNUMBER($L91),$L91&lt;0),"NO-AUTO-UPGRADE GUARD APPLIED",""))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MAP'!$D92)</f>
        <v/>
      </c>
      <c r="D92" t="n">
        <v>-7.6</v>
      </c>
      <c r="E92" s="1" t="n">
        <v>46108</v>
      </c>
      <c r="F92" t="inlineStr">
        <is>
          <t>https://www.espn.com/college-football/story/_/id/48306284/2026-college-football-sp+-rankings-138-fbs-teams</t>
        </is>
      </c>
      <c r="G92">
        <f>IF($D92="","",$D92-AVERAGE($D$6:$D$143))</f>
        <v/>
      </c>
      <c r="H92" t="n">
        <v>-9</v>
      </c>
      <c r="I92" s="1" t="n">
        <v>46222</v>
      </c>
      <c r="J92" t="inlineStr">
        <is>
          <t>https://www.espn.com/college-football/fpi</t>
        </is>
      </c>
      <c r="K92">
        <f>IF($H92="","",$H92-AVERAGE($H$6:$H$143))</f>
        <v/>
      </c>
      <c r="M92">
        <f>IF($L92="","",IF($C92="FBS-RECLASSIFYING",IF($L92&lt;0,$L92,$L92*(1-SETTINGS!$B$16)),$L92*(1-SETTINGS!$B$15)))</f>
        <v/>
      </c>
      <c r="P92">
        <f>IF($M92="","",$M92-AVERAGE($M$6:$M$143))</f>
        <v/>
      </c>
      <c r="Q92" t="n">
        <v>-10.3</v>
      </c>
      <c r="R92" s="1" t="n">
        <v>46222</v>
      </c>
      <c r="S92" t="inlineStr">
        <is>
          <t>https://www.teamrankings.com/college-football/ranking/predictive-by-other</t>
        </is>
      </c>
      <c r="T92">
        <f>IF($Q92="","",$Q92-AVERAGE($Q$6:$Q$143))</f>
        <v/>
      </c>
      <c r="X92">
        <f>IF($U92="","",$U92-AVERAGE($U$6:$U$143))</f>
        <v/>
      </c>
      <c r="Y92">
        <f>IF($A92="","",SETTINGS!$B$28*ISNUMBER($G92)+SETTINGS!$B$29*ISNUMBER($K92)+SETTINGS!$B$30*ISNUMBER($P92)+SETTINGS!$B$31*ISNUMBER($T92)+SETTINGS!$B$32*ISNUMBER($X92))</f>
        <v/>
      </c>
      <c r="Z92">
        <f>IF($A92="","",IF($Y92=0,"",(SETTINGS!$B$28*IF(ISNUMBER($G92),$G92,0)+SETTINGS!$B$29*IF(ISNUMBER($K92),$K92,0)+SETTINGS!$B$30*IF(ISNUMBER($P92),$P92,0)+SETTINGS!$B$31*IF(ISNUMBER($T92),$T92,0)+SETTINGS!$B$32*IF(ISNUMBER($X92),$X92,0))/$Y92))</f>
        <v/>
      </c>
      <c r="AA92">
        <f>IF($A92="","",COUNT($D92,$H92,$L92,$Q92,$U92))</f>
        <v/>
      </c>
      <c r="AB92">
        <f>IF($A92="","",IF($AA92&lt;=1,"SINGLE-SOURCE / LOW CONFIDENCE",""))</f>
        <v/>
      </c>
      <c r="AC92">
        <f>IF($A92="","",IF(AND($C92="FBS-RECLASSIFYING",ISNUMBER($L92),$L92&lt;0),"NO-AUTO-UPGRADE GUARD APPLIED",""))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MAP'!$D93)</f>
        <v/>
      </c>
      <c r="D93" t="n">
        <v>-18.1</v>
      </c>
      <c r="E93" s="1" t="n">
        <v>46108</v>
      </c>
      <c r="F93" t="inlineStr">
        <is>
          <t>https://www.espn.com/college-football/story/_/id/48306284/2026-college-football-sp+-rankings-138-fbs-teams</t>
        </is>
      </c>
      <c r="G93">
        <f>IF($D93="","",$D93-AVERAGE($D$6:$D$143))</f>
        <v/>
      </c>
      <c r="H93" t="n">
        <v>-15.5</v>
      </c>
      <c r="I93" s="1" t="n">
        <v>46222</v>
      </c>
      <c r="J93" t="inlineStr">
        <is>
          <t>https://www.espn.com/college-football/fpi</t>
        </is>
      </c>
      <c r="K93">
        <f>IF($H93="","",$H93-AVERAGE($H$6:$H$143))</f>
        <v/>
      </c>
      <c r="M93">
        <f>IF($L93="","",IF($C93="FBS-RECLASSIFYING",IF($L93&lt;0,$L93,$L93*(1-SETTINGS!$B$16)),$L93*(1-SETTINGS!$B$15)))</f>
        <v/>
      </c>
      <c r="P93">
        <f>IF($M93="","",$M93-AVERAGE($M$6:$M$143))</f>
        <v/>
      </c>
      <c r="Q93" t="n">
        <v>-18.2</v>
      </c>
      <c r="R93" s="1" t="n">
        <v>46222</v>
      </c>
      <c r="S93" t="inlineStr">
        <is>
          <t>https://www.teamrankings.com/college-football/ranking/predictive-by-other</t>
        </is>
      </c>
      <c r="T93">
        <f>IF($Q93="","",$Q93-AVERAGE($Q$6:$Q$143))</f>
        <v/>
      </c>
      <c r="X93">
        <f>IF($U93="","",$U93-AVERAGE($U$6:$U$143))</f>
        <v/>
      </c>
      <c r="Y93">
        <f>IF($A93="","",SETTINGS!$B$28*ISNUMBER($G93)+SETTINGS!$B$29*ISNUMBER($K93)+SETTINGS!$B$30*ISNUMBER($P93)+SETTINGS!$B$31*ISNUMBER($T93)+SETTINGS!$B$32*ISNUMBER($X93))</f>
        <v/>
      </c>
      <c r="Z93">
        <f>IF($A93="","",IF($Y93=0,"",(SETTINGS!$B$28*IF(ISNUMBER($G93),$G93,0)+SETTINGS!$B$29*IF(ISNUMBER($K93),$K93,0)+SETTINGS!$B$30*IF(ISNUMBER($P93),$P93,0)+SETTINGS!$B$31*IF(ISNUMBER($T93),$T93,0)+SETTINGS!$B$32*IF(ISNUMBER($X93),$X93,0))/$Y93))</f>
        <v/>
      </c>
      <c r="AA93">
        <f>IF($A93="","",COUNT($D93,$H93,$L93,$Q93,$U93))</f>
        <v/>
      </c>
      <c r="AB93">
        <f>IF($A93="","",IF($AA93&lt;=1,"SINGLE-SOURCE / LOW CONFIDENCE",""))</f>
        <v/>
      </c>
      <c r="AC93">
        <f>IF($A93="","",IF(AND($C93="FBS-RECLASSIFYING",ISNUMBER($L93),$L93&lt;0),"NO-AUTO-UPGRADE GUARD APPLIED",""))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MAP'!$D94)</f>
        <v/>
      </c>
      <c r="D94" t="n">
        <v>-1.5</v>
      </c>
      <c r="E94" s="1" t="n">
        <v>46108</v>
      </c>
      <c r="F94" t="inlineStr">
        <is>
          <t>https://www.espn.com/college-football/story/_/id/48306284/2026-college-football-sp+-rankings-138-fbs-teams</t>
        </is>
      </c>
      <c r="G94">
        <f>IF($D94="","",$D94-AVERAGE($D$6:$D$143))</f>
        <v/>
      </c>
      <c r="H94" t="n">
        <v>-5.3</v>
      </c>
      <c r="I94" s="1" t="n">
        <v>46222</v>
      </c>
      <c r="J94" t="inlineStr">
        <is>
          <t>https://www.espn.com/college-football/fpi</t>
        </is>
      </c>
      <c r="K94">
        <f>IF($H94="","",$H94-AVERAGE($H$6:$H$143))</f>
        <v/>
      </c>
      <c r="M94">
        <f>IF($L94="","",IF($C94="FBS-RECLASSIFYING",IF($L94&lt;0,$L94,$L94*(1-SETTINGS!$B$16)),$L94*(1-SETTINGS!$B$15)))</f>
        <v/>
      </c>
      <c r="P94">
        <f>IF($M94="","",$M94-AVERAGE($M$6:$M$143))</f>
        <v/>
      </c>
      <c r="Q94" t="n">
        <v>-1.5</v>
      </c>
      <c r="R94" s="1" t="n">
        <v>46222</v>
      </c>
      <c r="S94" t="inlineStr">
        <is>
          <t>https://www.teamrankings.com/college-football/ranking/predictive-by-other</t>
        </is>
      </c>
      <c r="T94">
        <f>IF($Q94="","",$Q94-AVERAGE($Q$6:$Q$143))</f>
        <v/>
      </c>
      <c r="X94">
        <f>IF($U94="","",$U94-AVERAGE($U$6:$U$143))</f>
        <v/>
      </c>
      <c r="Y94">
        <f>IF($A94="","",SETTINGS!$B$28*ISNUMBER($G94)+SETTINGS!$B$29*ISNUMBER($K94)+SETTINGS!$B$30*ISNUMBER($P94)+SETTINGS!$B$31*ISNUMBER($T94)+SETTINGS!$B$32*ISNUMBER($X94))</f>
        <v/>
      </c>
      <c r="Z94">
        <f>IF($A94="","",IF($Y94=0,"",(SETTINGS!$B$28*IF(ISNUMBER($G94),$G94,0)+SETTINGS!$B$29*IF(ISNUMBER($K94),$K94,0)+SETTINGS!$B$30*IF(ISNUMBER($P94),$P94,0)+SETTINGS!$B$31*IF(ISNUMBER($T94),$T94,0)+SETTINGS!$B$32*IF(ISNUMBER($X94),$X94,0))/$Y94))</f>
        <v/>
      </c>
      <c r="AA94">
        <f>IF($A94="","",COUNT($D94,$H94,$L94,$Q94,$U94))</f>
        <v/>
      </c>
      <c r="AB94">
        <f>IF($A94="","",IF($AA94&lt;=1,"SINGLE-SOURCE / LOW CONFIDENCE",""))</f>
        <v/>
      </c>
      <c r="AC94">
        <f>IF($A94="","",IF(AND($C94="FBS-RECLASSIFYING",ISNUMBER($L94),$L94&lt;0),"NO-AUTO-UPGRADE GUARD APPLIED",""))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MAP'!$D95)</f>
        <v/>
      </c>
      <c r="D95" t="n">
        <v>-13</v>
      </c>
      <c r="E95" s="1" t="n">
        <v>46108</v>
      </c>
      <c r="F95" t="inlineStr">
        <is>
          <t>https://www.espn.com/college-football/story/_/id/48306284/2026-college-football-sp+-rankings-138-fbs-teams</t>
        </is>
      </c>
      <c r="G95">
        <f>IF($D95="","",$D95-AVERAGE($D$6:$D$143))</f>
        <v/>
      </c>
      <c r="H95" t="n">
        <v>-6.6</v>
      </c>
      <c r="I95" s="1" t="n">
        <v>46222</v>
      </c>
      <c r="J95" t="inlineStr">
        <is>
          <t>https://www.espn.com/college-football/fpi</t>
        </is>
      </c>
      <c r="K95">
        <f>IF($H95="","",$H95-AVERAGE($H$6:$H$143))</f>
        <v/>
      </c>
      <c r="M95">
        <f>IF($L95="","",IF($C95="FBS-RECLASSIFYING",IF($L95&lt;0,$L95,$L95*(1-SETTINGS!$B$16)),$L95*(1-SETTINGS!$B$15)))</f>
        <v/>
      </c>
      <c r="P95">
        <f>IF($M95="","",$M95-AVERAGE($M$6:$M$143))</f>
        <v/>
      </c>
      <c r="Q95" t="n">
        <v>-12.5</v>
      </c>
      <c r="R95" s="1" t="n">
        <v>46222</v>
      </c>
      <c r="S95" t="inlineStr">
        <is>
          <t>https://www.teamrankings.com/college-football/ranking/predictive-by-other</t>
        </is>
      </c>
      <c r="T95">
        <f>IF($Q95="","",$Q95-AVERAGE($Q$6:$Q$143))</f>
        <v/>
      </c>
      <c r="X95">
        <f>IF($U95="","",$U95-AVERAGE($U$6:$U$143))</f>
        <v/>
      </c>
      <c r="Y95">
        <f>IF($A95="","",SETTINGS!$B$28*ISNUMBER($G95)+SETTINGS!$B$29*ISNUMBER($K95)+SETTINGS!$B$30*ISNUMBER($P95)+SETTINGS!$B$31*ISNUMBER($T95)+SETTINGS!$B$32*ISNUMBER($X95))</f>
        <v/>
      </c>
      <c r="Z95">
        <f>IF($A95="","",IF($Y95=0,"",(SETTINGS!$B$28*IF(ISNUMBER($G95),$G95,0)+SETTINGS!$B$29*IF(ISNUMBER($K95),$K95,0)+SETTINGS!$B$30*IF(ISNUMBER($P95),$P95,0)+SETTINGS!$B$31*IF(ISNUMBER($T95),$T95,0)+SETTINGS!$B$32*IF(ISNUMBER($X95),$X95,0))/$Y95))</f>
        <v/>
      </c>
      <c r="AA95">
        <f>IF($A95="","",COUNT($D95,$H95,$L95,$Q95,$U95))</f>
        <v/>
      </c>
      <c r="AB95">
        <f>IF($A95="","",IF($AA95&lt;=1,"SINGLE-SOURCE / LOW CONFIDENCE",""))</f>
        <v/>
      </c>
      <c r="AC95">
        <f>IF($A95="","",IF(AND($C95="FBS-RECLASSIFYING",ISNUMBER($L95),$L95&lt;0),"NO-AUTO-UPGRADE GUARD APPLIED",""))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MAP'!$D96)</f>
        <v/>
      </c>
      <c r="D96" t="n">
        <v>-13.7</v>
      </c>
      <c r="E96" s="1" t="n">
        <v>46108</v>
      </c>
      <c r="F96" t="inlineStr">
        <is>
          <t>https://www.espn.com/college-football/story/_/id/48306284/2026-college-football-sp+-rankings-138-fbs-teams</t>
        </is>
      </c>
      <c r="G96">
        <f>IF($D96="","",$D96-AVERAGE($D$6:$D$143))</f>
        <v/>
      </c>
      <c r="H96" t="n">
        <v>-12.6</v>
      </c>
      <c r="I96" s="1" t="n">
        <v>46222</v>
      </c>
      <c r="J96" t="inlineStr">
        <is>
          <t>https://www.espn.com/college-football/fpi</t>
        </is>
      </c>
      <c r="K96">
        <f>IF($H96="","",$H96-AVERAGE($H$6:$H$143))</f>
        <v/>
      </c>
      <c r="M96">
        <f>IF($L96="","",IF($C96="FBS-RECLASSIFYING",IF($L96&lt;0,$L96,$L96*(1-SETTINGS!$B$16)),$L96*(1-SETTINGS!$B$15)))</f>
        <v/>
      </c>
      <c r="P96">
        <f>IF($M96="","",$M96-AVERAGE($M$6:$M$143))</f>
        <v/>
      </c>
      <c r="Q96" t="n">
        <v>-15</v>
      </c>
      <c r="R96" s="1" t="n">
        <v>46222</v>
      </c>
      <c r="S96" t="inlineStr">
        <is>
          <t>https://www.teamrankings.com/college-football/ranking/predictive-by-other</t>
        </is>
      </c>
      <c r="T96">
        <f>IF($Q96="","",$Q96-AVERAGE($Q$6:$Q$143))</f>
        <v/>
      </c>
      <c r="X96">
        <f>IF($U96="","",$U96-AVERAGE($U$6:$U$143))</f>
        <v/>
      </c>
      <c r="Y96">
        <f>IF($A96="","",SETTINGS!$B$28*ISNUMBER($G96)+SETTINGS!$B$29*ISNUMBER($K96)+SETTINGS!$B$30*ISNUMBER($P96)+SETTINGS!$B$31*ISNUMBER($T96)+SETTINGS!$B$32*ISNUMBER($X96))</f>
        <v/>
      </c>
      <c r="Z96">
        <f>IF($A96="","",IF($Y96=0,"",(SETTINGS!$B$28*IF(ISNUMBER($G96),$G96,0)+SETTINGS!$B$29*IF(ISNUMBER($K96),$K96,0)+SETTINGS!$B$30*IF(ISNUMBER($P96),$P96,0)+SETTINGS!$B$31*IF(ISNUMBER($T96),$T96,0)+SETTINGS!$B$32*IF(ISNUMBER($X96),$X96,0))/$Y96))</f>
        <v/>
      </c>
      <c r="AA96">
        <f>IF($A96="","",COUNT($D96,$H96,$L96,$Q96,$U96))</f>
        <v/>
      </c>
      <c r="AB96">
        <f>IF($A96="","",IF($AA96&lt;=1,"SINGLE-SOURCE / LOW CONFIDENCE",""))</f>
        <v/>
      </c>
      <c r="AC96">
        <f>IF($A96="","",IF(AND($C96="FBS-RECLASSIFYING",ISNUMBER($L96),$L96&lt;0),"NO-AUTO-UPGRADE GUARD APPLIED",""))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MAP'!$D97)</f>
        <v/>
      </c>
      <c r="D97" t="n">
        <v>-7.7</v>
      </c>
      <c r="E97" s="1" t="n">
        <v>46108</v>
      </c>
      <c r="F97" t="inlineStr">
        <is>
          <t>https://www.espn.com/college-football/story/_/id/48306284/2026-college-football-sp+-rankings-138-fbs-teams</t>
        </is>
      </c>
      <c r="G97">
        <f>IF($D97="","",$D97-AVERAGE($D$6:$D$143))</f>
        <v/>
      </c>
      <c r="H97" t="n">
        <v>-8.5</v>
      </c>
      <c r="I97" s="1" t="n">
        <v>46222</v>
      </c>
      <c r="J97" t="inlineStr">
        <is>
          <t>https://www.espn.com/college-football/fpi</t>
        </is>
      </c>
      <c r="K97">
        <f>IF($H97="","",$H97-AVERAGE($H$6:$H$143))</f>
        <v/>
      </c>
      <c r="M97">
        <f>IF($L97="","",IF($C97="FBS-RECLASSIFYING",IF($L97&lt;0,$L97,$L97*(1-SETTINGS!$B$16)),$L97*(1-SETTINGS!$B$15)))</f>
        <v/>
      </c>
      <c r="P97">
        <f>IF($M97="","",$M97-AVERAGE($M$6:$M$143))</f>
        <v/>
      </c>
      <c r="Q97" t="n">
        <v>-10.7</v>
      </c>
      <c r="R97" s="1" t="n">
        <v>46222</v>
      </c>
      <c r="S97" t="inlineStr">
        <is>
          <t>https://www.teamrankings.com/college-football/ranking/predictive-by-other</t>
        </is>
      </c>
      <c r="T97">
        <f>IF($Q97="","",$Q97-AVERAGE($Q$6:$Q$143))</f>
        <v/>
      </c>
      <c r="X97">
        <f>IF($U97="","",$U97-AVERAGE($U$6:$U$143))</f>
        <v/>
      </c>
      <c r="Y97">
        <f>IF($A97="","",SETTINGS!$B$28*ISNUMBER($G97)+SETTINGS!$B$29*ISNUMBER($K97)+SETTINGS!$B$30*ISNUMBER($P97)+SETTINGS!$B$31*ISNUMBER($T97)+SETTINGS!$B$32*ISNUMBER($X97))</f>
        <v/>
      </c>
      <c r="Z97">
        <f>IF($A97="","",IF($Y97=0,"",(SETTINGS!$B$28*IF(ISNUMBER($G97),$G97,0)+SETTINGS!$B$29*IF(ISNUMBER($K97),$K97,0)+SETTINGS!$B$30*IF(ISNUMBER($P97),$P97,0)+SETTINGS!$B$31*IF(ISNUMBER($T97),$T97,0)+SETTINGS!$B$32*IF(ISNUMBER($X97),$X97,0))/$Y97))</f>
        <v/>
      </c>
      <c r="AA97">
        <f>IF($A97="","",COUNT($D97,$H97,$L97,$Q97,$U97))</f>
        <v/>
      </c>
      <c r="AB97">
        <f>IF($A97="","",IF($AA97&lt;=1,"SINGLE-SOURCE / LOW CONFIDENCE",""))</f>
        <v/>
      </c>
      <c r="AC97">
        <f>IF($A97="","",IF(AND($C97="FBS-RECLASSIFYING",ISNUMBER($L97),$L97&lt;0),"NO-AUTO-UPGRADE GUARD APPLIED",""))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MAP'!$D98)</f>
        <v/>
      </c>
      <c r="D98" t="n">
        <v>-9.300000000000001</v>
      </c>
      <c r="E98" s="1" t="n">
        <v>46108</v>
      </c>
      <c r="F98" t="inlineStr">
        <is>
          <t>https://www.espn.com/college-football/story/_/id/48306284/2026-college-football-sp+-rankings-138-fbs-teams</t>
        </is>
      </c>
      <c r="G98">
        <f>IF($D98="","",$D98-AVERAGE($D$6:$D$143))</f>
        <v/>
      </c>
      <c r="H98" t="n">
        <v>-9</v>
      </c>
      <c r="I98" s="1" t="n">
        <v>46222</v>
      </c>
      <c r="J98" t="inlineStr">
        <is>
          <t>https://www.espn.com/college-football/fpi</t>
        </is>
      </c>
      <c r="K98">
        <f>IF($H98="","",$H98-AVERAGE($H$6:$H$143))</f>
        <v/>
      </c>
      <c r="M98">
        <f>IF($L98="","",IF($C98="FBS-RECLASSIFYING",IF($L98&lt;0,$L98,$L98*(1-SETTINGS!$B$16)),$L98*(1-SETTINGS!$B$15)))</f>
        <v/>
      </c>
      <c r="P98">
        <f>IF($M98="","",$M98-AVERAGE($M$6:$M$143))</f>
        <v/>
      </c>
      <c r="Q98" t="n">
        <v>-14.2</v>
      </c>
      <c r="R98" s="1" t="n">
        <v>46222</v>
      </c>
      <c r="S98" t="inlineStr">
        <is>
          <t>https://www.teamrankings.com/college-football/ranking/predictive-by-other</t>
        </is>
      </c>
      <c r="T98">
        <f>IF($Q98="","",$Q98-AVERAGE($Q$6:$Q$143))</f>
        <v/>
      </c>
      <c r="X98">
        <f>IF($U98="","",$U98-AVERAGE($U$6:$U$143))</f>
        <v/>
      </c>
      <c r="Y98">
        <f>IF($A98="","",SETTINGS!$B$28*ISNUMBER($G98)+SETTINGS!$B$29*ISNUMBER($K98)+SETTINGS!$B$30*ISNUMBER($P98)+SETTINGS!$B$31*ISNUMBER($T98)+SETTINGS!$B$32*ISNUMBER($X98))</f>
        <v/>
      </c>
      <c r="Z98">
        <f>IF($A98="","",IF($Y98=0,"",(SETTINGS!$B$28*IF(ISNUMBER($G98),$G98,0)+SETTINGS!$B$29*IF(ISNUMBER($K98),$K98,0)+SETTINGS!$B$30*IF(ISNUMBER($P98),$P98,0)+SETTINGS!$B$31*IF(ISNUMBER($T98),$T98,0)+SETTINGS!$B$32*IF(ISNUMBER($X98),$X98,0))/$Y98))</f>
        <v/>
      </c>
      <c r="AA98">
        <f>IF($A98="","",COUNT($D98,$H98,$L98,$Q98,$U98))</f>
        <v/>
      </c>
      <c r="AB98">
        <f>IF($A98="","",IF($AA98&lt;=1,"SINGLE-SOURCE / LOW CONFIDENCE",""))</f>
        <v/>
      </c>
      <c r="AC98">
        <f>IF($A98="","",IF(AND($C98="FBS-RECLASSIFYING",ISNUMBER($L98),$L98&lt;0),"NO-AUTO-UPGRADE GUARD APPLIED",""))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MAP'!$D99)</f>
        <v/>
      </c>
      <c r="D99" t="n">
        <v>-6.4</v>
      </c>
      <c r="E99" s="1" t="n">
        <v>46108</v>
      </c>
      <c r="F99" t="inlineStr">
        <is>
          <t>https://www.espn.com/college-football/story/_/id/48306284/2026-college-football-sp+-rankings-138-fbs-teams</t>
        </is>
      </c>
      <c r="G99">
        <f>IF($D99="","",$D99-AVERAGE($D$6:$D$143))</f>
        <v/>
      </c>
      <c r="H99" t="n">
        <v>-7.7</v>
      </c>
      <c r="I99" s="1" t="n">
        <v>46222</v>
      </c>
      <c r="J99" t="inlineStr">
        <is>
          <t>https://www.espn.com/college-football/fpi</t>
        </is>
      </c>
      <c r="K99">
        <f>IF($H99="","",$H99-AVERAGE($H$6:$H$143))</f>
        <v/>
      </c>
      <c r="M99">
        <f>IF($L99="","",IF($C99="FBS-RECLASSIFYING",IF($L99&lt;0,$L99,$L99*(1-SETTINGS!$B$16)),$L99*(1-SETTINGS!$B$15)))</f>
        <v/>
      </c>
      <c r="P99">
        <f>IF($M99="","",$M99-AVERAGE($M$6:$M$143))</f>
        <v/>
      </c>
      <c r="Q99" t="n">
        <v>-8.5</v>
      </c>
      <c r="R99" s="1" t="n">
        <v>46222</v>
      </c>
      <c r="S99" t="inlineStr">
        <is>
          <t>https://www.teamrankings.com/college-football/ranking/predictive-by-other</t>
        </is>
      </c>
      <c r="T99">
        <f>IF($Q99="","",$Q99-AVERAGE($Q$6:$Q$143))</f>
        <v/>
      </c>
      <c r="X99">
        <f>IF($U99="","",$U99-AVERAGE($U$6:$U$143))</f>
        <v/>
      </c>
      <c r="Y99">
        <f>IF($A99="","",SETTINGS!$B$28*ISNUMBER($G99)+SETTINGS!$B$29*ISNUMBER($K99)+SETTINGS!$B$30*ISNUMBER($P99)+SETTINGS!$B$31*ISNUMBER($T99)+SETTINGS!$B$32*ISNUMBER($X99))</f>
        <v/>
      </c>
      <c r="Z99">
        <f>IF($A99="","",IF($Y99=0,"",(SETTINGS!$B$28*IF(ISNUMBER($G99),$G99,0)+SETTINGS!$B$29*IF(ISNUMBER($K99),$K99,0)+SETTINGS!$B$30*IF(ISNUMBER($P99),$P99,0)+SETTINGS!$B$31*IF(ISNUMBER($T99),$T99,0)+SETTINGS!$B$32*IF(ISNUMBER($X99),$X99,0))/$Y99))</f>
        <v/>
      </c>
      <c r="AA99">
        <f>IF($A99="","",COUNT($D99,$H99,$L99,$Q99,$U99))</f>
        <v/>
      </c>
      <c r="AB99">
        <f>IF($A99="","",IF($AA99&lt;=1,"SINGLE-SOURCE / LOW CONFIDENCE",""))</f>
        <v/>
      </c>
      <c r="AC99">
        <f>IF($A99="","",IF(AND($C99="FBS-RECLASSIFYING",ISNUMBER($L99),$L99&lt;0),"NO-AUTO-UPGRADE GUARD APPLIED",""))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MAP'!$D100)</f>
        <v/>
      </c>
      <c r="D100" t="n">
        <v>-26</v>
      </c>
      <c r="E100" s="1" t="n">
        <v>46108</v>
      </c>
      <c r="F100" t="inlineStr">
        <is>
          <t>https://www.espn.com/college-football/story/_/id/48306284/2026-college-football-sp+-rankings-138-fbs-teams</t>
        </is>
      </c>
      <c r="G100">
        <f>IF($D100="","",$D100-AVERAGE($D$6:$D$143))</f>
        <v/>
      </c>
      <c r="H100" t="n">
        <v>-16.1</v>
      </c>
      <c r="I100" s="1" t="n">
        <v>46222</v>
      </c>
      <c r="J100" t="inlineStr">
        <is>
          <t>https://www.espn.com/college-football/fpi</t>
        </is>
      </c>
      <c r="K100">
        <f>IF($H100="","",$H100-AVERAGE($H$6:$H$143))</f>
        <v/>
      </c>
      <c r="M100">
        <f>IF($L100="","",IF($C100="FBS-RECLASSIFYING",IF($L100&lt;0,$L100,$L100*(1-SETTINGS!$B$16)),$L100*(1-SETTINGS!$B$15)))</f>
        <v/>
      </c>
      <c r="P100">
        <f>IF($M100="","",$M100-AVERAGE($M$6:$M$143))</f>
        <v/>
      </c>
      <c r="Q100" t="n">
        <v>-20.9</v>
      </c>
      <c r="R100" s="1" t="n">
        <v>46222</v>
      </c>
      <c r="S100" t="inlineStr">
        <is>
          <t>https://www.teamrankings.com/college-football/ranking/predictive-by-other</t>
        </is>
      </c>
      <c r="T100">
        <f>IF($Q100="","",$Q100-AVERAGE($Q$6:$Q$143))</f>
        <v/>
      </c>
      <c r="X100">
        <f>IF($U100="","",$U100-AVERAGE($U$6:$U$143))</f>
        <v/>
      </c>
      <c r="Y100">
        <f>IF($A100="","",SETTINGS!$B$28*ISNUMBER($G100)+SETTINGS!$B$29*ISNUMBER($K100)+SETTINGS!$B$30*ISNUMBER($P100)+SETTINGS!$B$31*ISNUMBER($T100)+SETTINGS!$B$32*ISNUMBER($X100))</f>
        <v/>
      </c>
      <c r="Z100">
        <f>IF($A100="","",IF($Y100=0,"",(SETTINGS!$B$28*IF(ISNUMBER($G100),$G100,0)+SETTINGS!$B$29*IF(ISNUMBER($K100),$K100,0)+SETTINGS!$B$30*IF(ISNUMBER($P100),$P100,0)+SETTINGS!$B$31*IF(ISNUMBER($T100),$T100,0)+SETTINGS!$B$32*IF(ISNUMBER($X100),$X100,0))/$Y100))</f>
        <v/>
      </c>
      <c r="AA100">
        <f>IF($A100="","",COUNT($D100,$H100,$L100,$Q100,$U100))</f>
        <v/>
      </c>
      <c r="AB100">
        <f>IF($A100="","",IF($AA100&lt;=1,"SINGLE-SOURCE / LOW CONFIDENCE",""))</f>
        <v/>
      </c>
      <c r="AC100">
        <f>IF($A100="","",IF(AND($C100="FBS-RECLASSIFYING",ISNUMBER($L100),$L100&lt;0),"NO-AUTO-UPGRADE GUARD APPLIED",""))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MAP'!$D101)</f>
        <v/>
      </c>
      <c r="D101" t="n">
        <v>-18.7</v>
      </c>
      <c r="E101" s="1" t="n">
        <v>46108</v>
      </c>
      <c r="F101" t="inlineStr">
        <is>
          <t>https://www.espn.com/college-football/story/_/id/48306284/2026-college-football-sp+-rankings-138-fbs-teams</t>
        </is>
      </c>
      <c r="G101">
        <f>IF($D101="","",$D101-AVERAGE($D$6:$D$143))</f>
        <v/>
      </c>
      <c r="H101" t="n">
        <v>-10.3</v>
      </c>
      <c r="I101" s="1" t="n">
        <v>46222</v>
      </c>
      <c r="J101" t="inlineStr">
        <is>
          <t>https://www.espn.com/college-football/fpi</t>
        </is>
      </c>
      <c r="K101">
        <f>IF($H101="","",$H101-AVERAGE($H$6:$H$143))</f>
        <v/>
      </c>
      <c r="M101">
        <f>IF($L101="","",IF($C101="FBS-RECLASSIFYING",IF($L101&lt;0,$L101,$L101*(1-SETTINGS!$B$16)),$L101*(1-SETTINGS!$B$15)))</f>
        <v/>
      </c>
      <c r="P101">
        <f>IF($M101="","",$M101-AVERAGE($M$6:$M$143))</f>
        <v/>
      </c>
      <c r="Q101" t="n">
        <v>-18.9</v>
      </c>
      <c r="R101" s="1" t="n">
        <v>46222</v>
      </c>
      <c r="S101" t="inlineStr">
        <is>
          <t>https://www.teamrankings.com/college-football/ranking/predictive-by-other</t>
        </is>
      </c>
      <c r="T101">
        <f>IF($Q101="","",$Q101-AVERAGE($Q$6:$Q$143))</f>
        <v/>
      </c>
      <c r="X101">
        <f>IF($U101="","",$U101-AVERAGE($U$6:$U$143))</f>
        <v/>
      </c>
      <c r="Y101">
        <f>IF($A101="","",SETTINGS!$B$28*ISNUMBER($G101)+SETTINGS!$B$29*ISNUMBER($K101)+SETTINGS!$B$30*ISNUMBER($P101)+SETTINGS!$B$31*ISNUMBER($T101)+SETTINGS!$B$32*ISNUMBER($X101))</f>
        <v/>
      </c>
      <c r="Z101">
        <f>IF($A101="","",IF($Y101=0,"",(SETTINGS!$B$28*IF(ISNUMBER($G101),$G101,0)+SETTINGS!$B$29*IF(ISNUMBER($K101),$K101,0)+SETTINGS!$B$30*IF(ISNUMBER($P101),$P101,0)+SETTINGS!$B$31*IF(ISNUMBER($T101),$T101,0)+SETTINGS!$B$32*IF(ISNUMBER($X101),$X101,0))/$Y101))</f>
        <v/>
      </c>
      <c r="AA101">
        <f>IF($A101="","",COUNT($D101,$H101,$L101,$Q101,$U101))</f>
        <v/>
      </c>
      <c r="AB101">
        <f>IF($A101="","",IF($AA101&lt;=1,"SINGLE-SOURCE / LOW CONFIDENCE",""))</f>
        <v/>
      </c>
      <c r="AC101">
        <f>IF($A101="","",IF(AND($C101="FBS-RECLASSIFYING",ISNUMBER($L101),$L101&lt;0),"NO-AUTO-UPGRADE GUARD APPLIED",""))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MAP'!$D102)</f>
        <v/>
      </c>
      <c r="D102" t="n">
        <v>-16.4</v>
      </c>
      <c r="E102" s="1" t="n">
        <v>46108</v>
      </c>
      <c r="F102" t="inlineStr">
        <is>
          <t>https://www.espn.com/college-football/story/_/id/48306284/2026-college-football-sp+-rankings-138-fbs-teams</t>
        </is>
      </c>
      <c r="G102">
        <f>IF($D102="","",$D102-AVERAGE($D$6:$D$143))</f>
        <v/>
      </c>
      <c r="H102" t="n">
        <v>-15.7</v>
      </c>
      <c r="I102" s="1" t="n">
        <v>46222</v>
      </c>
      <c r="J102" t="inlineStr">
        <is>
          <t>https://www.espn.com/college-football/fpi</t>
        </is>
      </c>
      <c r="K102">
        <f>IF($H102="","",$H102-AVERAGE($H$6:$H$143))</f>
        <v/>
      </c>
      <c r="M102">
        <f>IF($L102="","",IF($C102="FBS-RECLASSIFYING",IF($L102&lt;0,$L102,$L102*(1-SETTINGS!$B$16)),$L102*(1-SETTINGS!$B$15)))</f>
        <v/>
      </c>
      <c r="P102">
        <f>IF($M102="","",$M102-AVERAGE($M$6:$M$143))</f>
        <v/>
      </c>
      <c r="Q102" t="n">
        <v>-18.4</v>
      </c>
      <c r="R102" s="1" t="n">
        <v>46222</v>
      </c>
      <c r="S102" t="inlineStr">
        <is>
          <t>https://www.teamrankings.com/college-football/ranking/predictive-by-other</t>
        </is>
      </c>
      <c r="T102">
        <f>IF($Q102="","",$Q102-AVERAGE($Q$6:$Q$143))</f>
        <v/>
      </c>
      <c r="X102">
        <f>IF($U102="","",$U102-AVERAGE($U$6:$U$143))</f>
        <v/>
      </c>
      <c r="Y102">
        <f>IF($A102="","",SETTINGS!$B$28*ISNUMBER($G102)+SETTINGS!$B$29*ISNUMBER($K102)+SETTINGS!$B$30*ISNUMBER($P102)+SETTINGS!$B$31*ISNUMBER($T102)+SETTINGS!$B$32*ISNUMBER($X102))</f>
        <v/>
      </c>
      <c r="Z102">
        <f>IF($A102="","",IF($Y102=0,"",(SETTINGS!$B$28*IF(ISNUMBER($G102),$G102,0)+SETTINGS!$B$29*IF(ISNUMBER($K102),$K102,0)+SETTINGS!$B$30*IF(ISNUMBER($P102),$P102,0)+SETTINGS!$B$31*IF(ISNUMBER($T102),$T102,0)+SETTINGS!$B$32*IF(ISNUMBER($X102),$X102,0))/$Y102))</f>
        <v/>
      </c>
      <c r="AA102">
        <f>IF($A102="","",COUNT($D102,$H102,$L102,$Q102,$U102))</f>
        <v/>
      </c>
      <c r="AB102">
        <f>IF($A102="","",IF($AA102&lt;=1,"SINGLE-SOURCE / LOW CONFIDENCE",""))</f>
        <v/>
      </c>
      <c r="AC102">
        <f>IF($A102="","",IF(AND($C102="FBS-RECLASSIFYING",ISNUMBER($L102),$L102&lt;0),"NO-AUTO-UPGRADE GUARD APPLIED",""))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MAP'!$D103)</f>
        <v/>
      </c>
      <c r="D103" t="n">
        <v>-26.3</v>
      </c>
      <c r="E103" s="1" t="n">
        <v>46108</v>
      </c>
      <c r="F103" t="inlineStr">
        <is>
          <t>https://www.espn.com/college-football/story/_/id/48306284/2026-college-football-sp+-rankings-138-fbs-teams</t>
        </is>
      </c>
      <c r="G103">
        <f>IF($D103="","",$D103-AVERAGE($D$6:$D$143))</f>
        <v/>
      </c>
      <c r="H103" t="n">
        <v>-18.4</v>
      </c>
      <c r="I103" s="1" t="n">
        <v>46222</v>
      </c>
      <c r="J103" t="inlineStr">
        <is>
          <t>https://www.espn.com/college-football/fpi</t>
        </is>
      </c>
      <c r="K103">
        <f>IF($H103="","",$H103-AVERAGE($H$6:$H$143))</f>
        <v/>
      </c>
      <c r="M103">
        <f>IF($L103="","",IF($C103="FBS-RECLASSIFYING",IF($L103&lt;0,$L103,$L103*(1-SETTINGS!$B$16)),$L103*(1-SETTINGS!$B$15)))</f>
        <v/>
      </c>
      <c r="P103">
        <f>IF($M103="","",$M103-AVERAGE($M$6:$M$143))</f>
        <v/>
      </c>
      <c r="Q103" t="n">
        <v>-24.1</v>
      </c>
      <c r="R103" s="1" t="n">
        <v>46222</v>
      </c>
      <c r="S103" t="inlineStr">
        <is>
          <t>https://www.teamrankings.com/college-football/ranking/predictive-by-other</t>
        </is>
      </c>
      <c r="T103">
        <f>IF($Q103="","",$Q103-AVERAGE($Q$6:$Q$143))</f>
        <v/>
      </c>
      <c r="X103">
        <f>IF($U103="","",$U103-AVERAGE($U$6:$U$143))</f>
        <v/>
      </c>
      <c r="Y103">
        <f>IF($A103="","",SETTINGS!$B$28*ISNUMBER($G103)+SETTINGS!$B$29*ISNUMBER($K103)+SETTINGS!$B$30*ISNUMBER($P103)+SETTINGS!$B$31*ISNUMBER($T103)+SETTINGS!$B$32*ISNUMBER($X103))</f>
        <v/>
      </c>
      <c r="Z103">
        <f>IF($A103="","",IF($Y103=0,"",(SETTINGS!$B$28*IF(ISNUMBER($G103),$G103,0)+SETTINGS!$B$29*IF(ISNUMBER($K103),$K103,0)+SETTINGS!$B$30*IF(ISNUMBER($P103),$P103,0)+SETTINGS!$B$31*IF(ISNUMBER($T103),$T103,0)+SETTINGS!$B$32*IF(ISNUMBER($X103),$X103,0))/$Y103))</f>
        <v/>
      </c>
      <c r="AA103">
        <f>IF($A103="","",COUNT($D103,$H103,$L103,$Q103,$U103))</f>
        <v/>
      </c>
      <c r="AB103">
        <f>IF($A103="","",IF($AA103&lt;=1,"SINGLE-SOURCE / LOW CONFIDENCE",""))</f>
        <v/>
      </c>
      <c r="AC103">
        <f>IF($A103="","",IF(AND($C103="FBS-RECLASSIFYING",ISNUMBER($L103),$L103&lt;0),"NO-AUTO-UPGRADE GUARD APPLIED",""))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MAP'!$D104)</f>
        <v/>
      </c>
      <c r="D104" t="n">
        <v>-5.3</v>
      </c>
      <c r="E104" s="1" t="n">
        <v>46108</v>
      </c>
      <c r="F104" t="inlineStr">
        <is>
          <t>https://www.espn.com/college-football/story/_/id/48306284/2026-college-football-sp+-rankings-138-fbs-teams</t>
        </is>
      </c>
      <c r="G104">
        <f>IF($D104="","",$D104-AVERAGE($D$6:$D$143))</f>
        <v/>
      </c>
      <c r="H104" t="n">
        <v>-4.9</v>
      </c>
      <c r="I104" s="1" t="n">
        <v>46222</v>
      </c>
      <c r="J104" t="inlineStr">
        <is>
          <t>https://www.espn.com/college-football/fpi</t>
        </is>
      </c>
      <c r="K104">
        <f>IF($H104="","",$H104-AVERAGE($H$6:$H$143))</f>
        <v/>
      </c>
      <c r="M104">
        <f>IF($L104="","",IF($C104="FBS-RECLASSIFYING",IF($L104&lt;0,$L104,$L104*(1-SETTINGS!$B$16)),$L104*(1-SETTINGS!$B$15)))</f>
        <v/>
      </c>
      <c r="P104">
        <f>IF($M104="","",$M104-AVERAGE($M$6:$M$143))</f>
        <v/>
      </c>
      <c r="Q104" t="n">
        <v>-8.4</v>
      </c>
      <c r="R104" s="1" t="n">
        <v>46222</v>
      </c>
      <c r="S104" t="inlineStr">
        <is>
          <t>https://www.teamrankings.com/college-football/ranking/predictive-by-other</t>
        </is>
      </c>
      <c r="T104">
        <f>IF($Q104="","",$Q104-AVERAGE($Q$6:$Q$143))</f>
        <v/>
      </c>
      <c r="X104">
        <f>IF($U104="","",$U104-AVERAGE($U$6:$U$143))</f>
        <v/>
      </c>
      <c r="Y104">
        <f>IF($A104="","",SETTINGS!$B$28*ISNUMBER($G104)+SETTINGS!$B$29*ISNUMBER($K104)+SETTINGS!$B$30*ISNUMBER($P104)+SETTINGS!$B$31*ISNUMBER($T104)+SETTINGS!$B$32*ISNUMBER($X104))</f>
        <v/>
      </c>
      <c r="Z104">
        <f>IF($A104="","",IF($Y104=0,"",(SETTINGS!$B$28*IF(ISNUMBER($G104),$G104,0)+SETTINGS!$B$29*IF(ISNUMBER($K104),$K104,0)+SETTINGS!$B$30*IF(ISNUMBER($P104),$P104,0)+SETTINGS!$B$31*IF(ISNUMBER($T104),$T104,0)+SETTINGS!$B$32*IF(ISNUMBER($X104),$X104,0))/$Y104))</f>
        <v/>
      </c>
      <c r="AA104">
        <f>IF($A104="","",COUNT($D104,$H104,$L104,$Q104,$U104))</f>
        <v/>
      </c>
      <c r="AB104">
        <f>IF($A104="","",IF($AA104&lt;=1,"SINGLE-SOURCE / LOW CONFIDENCE",""))</f>
        <v/>
      </c>
      <c r="AC104">
        <f>IF($A104="","",IF(AND($C104="FBS-RECLASSIFYING",ISNUMBER($L104),$L104&lt;0),"NO-AUTO-UPGRADE GUARD APPLIED",""))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MAP'!$D105)</f>
        <v/>
      </c>
      <c r="D105" t="n">
        <v>-19.5</v>
      </c>
      <c r="E105" s="1" t="n">
        <v>46108</v>
      </c>
      <c r="F105" t="inlineStr">
        <is>
          <t>https://www.espn.com/college-football/story/_/id/48306284/2026-college-football-sp+-rankings-138-fbs-teams</t>
        </is>
      </c>
      <c r="G105">
        <f>IF($D105="","",$D105-AVERAGE($D$6:$D$143))</f>
        <v/>
      </c>
      <c r="H105" t="n">
        <v>-16.9</v>
      </c>
      <c r="I105" s="1" t="n">
        <v>46222</v>
      </c>
      <c r="J105" t="inlineStr">
        <is>
          <t>https://www.espn.com/college-football/fpi</t>
        </is>
      </c>
      <c r="K105">
        <f>IF($H105="","",$H105-AVERAGE($H$6:$H$143))</f>
        <v/>
      </c>
      <c r="M105">
        <f>IF($L105="","",IF($C105="FBS-RECLASSIFYING",IF($L105&lt;0,$L105,$L105*(1-SETTINGS!$B$16)),$L105*(1-SETTINGS!$B$15)))</f>
        <v/>
      </c>
      <c r="P105">
        <f>IF($M105="","",$M105-AVERAGE($M$6:$M$143))</f>
        <v/>
      </c>
      <c r="Q105" t="n">
        <v>-17.9</v>
      </c>
      <c r="R105" s="1" t="n">
        <v>46222</v>
      </c>
      <c r="S105" t="inlineStr">
        <is>
          <t>https://www.teamrankings.com/college-football/ranking/predictive-by-other</t>
        </is>
      </c>
      <c r="T105">
        <f>IF($Q105="","",$Q105-AVERAGE($Q$6:$Q$143))</f>
        <v/>
      </c>
      <c r="X105">
        <f>IF($U105="","",$U105-AVERAGE($U$6:$U$143))</f>
        <v/>
      </c>
      <c r="Y105">
        <f>IF($A105="","",SETTINGS!$B$28*ISNUMBER($G105)+SETTINGS!$B$29*ISNUMBER($K105)+SETTINGS!$B$30*ISNUMBER($P105)+SETTINGS!$B$31*ISNUMBER($T105)+SETTINGS!$B$32*ISNUMBER($X105))</f>
        <v/>
      </c>
      <c r="Z105">
        <f>IF($A105="","",IF($Y105=0,"",(SETTINGS!$B$28*IF(ISNUMBER($G105),$G105,0)+SETTINGS!$B$29*IF(ISNUMBER($K105),$K105,0)+SETTINGS!$B$30*IF(ISNUMBER($P105),$P105,0)+SETTINGS!$B$31*IF(ISNUMBER($T105),$T105,0)+SETTINGS!$B$32*IF(ISNUMBER($X105),$X105,0))/$Y105))</f>
        <v/>
      </c>
      <c r="AA105">
        <f>IF($A105="","",COUNT($D105,$H105,$L105,$Q105,$U105))</f>
        <v/>
      </c>
      <c r="AB105">
        <f>IF($A105="","",IF($AA105&lt;=1,"SINGLE-SOURCE / LOW CONFIDENCE",""))</f>
        <v/>
      </c>
      <c r="AC105">
        <f>IF($A105="","",IF(AND($C105="FBS-RECLASSIFYING",ISNUMBER($L105),$L105&lt;0),"NO-AUTO-UPGRADE GUARD APPLIED",""))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MAP'!$D106)</f>
        <v/>
      </c>
      <c r="D106" t="n">
        <v>-25.2</v>
      </c>
      <c r="E106" s="1" t="n">
        <v>46108</v>
      </c>
      <c r="F106" t="inlineStr">
        <is>
          <t>https://www.espn.com/college-football/story/_/id/48306284/2026-college-football-sp+-rankings-138-fbs-teams</t>
        </is>
      </c>
      <c r="G106">
        <f>IF($D106="","",$D106-AVERAGE($D$6:$D$143))</f>
        <v/>
      </c>
      <c r="H106" t="n">
        <v>-17.3</v>
      </c>
      <c r="I106" s="1" t="n">
        <v>46222</v>
      </c>
      <c r="J106" t="inlineStr">
        <is>
          <t>https://www.espn.com/college-football/fpi</t>
        </is>
      </c>
      <c r="K106">
        <f>IF($H106="","",$H106-AVERAGE($H$6:$H$143))</f>
        <v/>
      </c>
      <c r="M106">
        <f>IF($L106="","",IF($C106="FBS-RECLASSIFYING",IF($L106&lt;0,$L106,$L106*(1-SETTINGS!$B$16)),$L106*(1-SETTINGS!$B$15)))</f>
        <v/>
      </c>
      <c r="P106">
        <f>IF($M106="","",$M106-AVERAGE($M$6:$M$143))</f>
        <v/>
      </c>
      <c r="Q106" t="n">
        <v>-23</v>
      </c>
      <c r="R106" s="1" t="n">
        <v>46222</v>
      </c>
      <c r="S106" t="inlineStr">
        <is>
          <t>https://www.teamrankings.com/college-football/ranking/predictive-by-other</t>
        </is>
      </c>
      <c r="T106">
        <f>IF($Q106="","",$Q106-AVERAGE($Q$6:$Q$143))</f>
        <v/>
      </c>
      <c r="X106">
        <f>IF($U106="","",$U106-AVERAGE($U$6:$U$143))</f>
        <v/>
      </c>
      <c r="Y106">
        <f>IF($A106="","",SETTINGS!$B$28*ISNUMBER($G106)+SETTINGS!$B$29*ISNUMBER($K106)+SETTINGS!$B$30*ISNUMBER($P106)+SETTINGS!$B$31*ISNUMBER($T106)+SETTINGS!$B$32*ISNUMBER($X106))</f>
        <v/>
      </c>
      <c r="Z106">
        <f>IF($A106="","",IF($Y106=0,"",(SETTINGS!$B$28*IF(ISNUMBER($G106),$G106,0)+SETTINGS!$B$29*IF(ISNUMBER($K106),$K106,0)+SETTINGS!$B$30*IF(ISNUMBER($P106),$P106,0)+SETTINGS!$B$31*IF(ISNUMBER($T106),$T106,0)+SETTINGS!$B$32*IF(ISNUMBER($X106),$X106,0))/$Y106))</f>
        <v/>
      </c>
      <c r="AA106">
        <f>IF($A106="","",COUNT($D106,$H106,$L106,$Q106,$U106))</f>
        <v/>
      </c>
      <c r="AB106">
        <f>IF($A106="","",IF($AA106&lt;=1,"SINGLE-SOURCE / LOW CONFIDENCE",""))</f>
        <v/>
      </c>
      <c r="AC106">
        <f>IF($A106="","",IF(AND($C106="FBS-RECLASSIFYING",ISNUMBER($L106),$L106&lt;0),"NO-AUTO-UPGRADE GUARD APPLIED",""))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MAP'!$D107)</f>
        <v/>
      </c>
      <c r="D107" t="n">
        <v>-13.3</v>
      </c>
      <c r="E107" s="1" t="n">
        <v>46108</v>
      </c>
      <c r="F107" t="inlineStr">
        <is>
          <t>https://www.espn.com/college-football/story/_/id/48306284/2026-college-football-sp+-rankings-138-fbs-teams</t>
        </is>
      </c>
      <c r="G107">
        <f>IF($D107="","",$D107-AVERAGE($D$6:$D$143))</f>
        <v/>
      </c>
      <c r="H107" t="n">
        <v>-13.7</v>
      </c>
      <c r="I107" s="1" t="n">
        <v>46222</v>
      </c>
      <c r="J107" t="inlineStr">
        <is>
          <t>https://www.espn.com/college-football/fpi</t>
        </is>
      </c>
      <c r="K107">
        <f>IF($H107="","",$H107-AVERAGE($H$6:$H$143))</f>
        <v/>
      </c>
      <c r="M107">
        <f>IF($L107="","",IF($C107="FBS-RECLASSIFYING",IF($L107&lt;0,$L107,$L107*(1-SETTINGS!$B$16)),$L107*(1-SETTINGS!$B$15)))</f>
        <v/>
      </c>
      <c r="P107">
        <f>IF($M107="","",$M107-AVERAGE($M$6:$M$143))</f>
        <v/>
      </c>
      <c r="Q107" t="n">
        <v>-17.7</v>
      </c>
      <c r="R107" s="1" t="n">
        <v>46222</v>
      </c>
      <c r="S107" t="inlineStr">
        <is>
          <t>https://www.teamrankings.com/college-football/ranking/predictive-by-other</t>
        </is>
      </c>
      <c r="T107">
        <f>IF($Q107="","",$Q107-AVERAGE($Q$6:$Q$143))</f>
        <v/>
      </c>
      <c r="X107">
        <f>IF($U107="","",$U107-AVERAGE($U$6:$U$143))</f>
        <v/>
      </c>
      <c r="Y107">
        <f>IF($A107="","",SETTINGS!$B$28*ISNUMBER($G107)+SETTINGS!$B$29*ISNUMBER($K107)+SETTINGS!$B$30*ISNUMBER($P107)+SETTINGS!$B$31*ISNUMBER($T107)+SETTINGS!$B$32*ISNUMBER($X107))</f>
        <v/>
      </c>
      <c r="Z107">
        <f>IF($A107="","",IF($Y107=0,"",(SETTINGS!$B$28*IF(ISNUMBER($G107),$G107,0)+SETTINGS!$B$29*IF(ISNUMBER($K107),$K107,0)+SETTINGS!$B$30*IF(ISNUMBER($P107),$P107,0)+SETTINGS!$B$31*IF(ISNUMBER($T107),$T107,0)+SETTINGS!$B$32*IF(ISNUMBER($X107),$X107,0))/$Y107))</f>
        <v/>
      </c>
      <c r="AA107">
        <f>IF($A107="","",COUNT($D107,$H107,$L107,$Q107,$U107))</f>
        <v/>
      </c>
      <c r="AB107">
        <f>IF($A107="","",IF($AA107&lt;=1,"SINGLE-SOURCE / LOW CONFIDENCE",""))</f>
        <v/>
      </c>
      <c r="AC107">
        <f>IF($A107="","",IF(AND($C107="FBS-RECLASSIFYING",ISNUMBER($L107),$L107&lt;0),"NO-AUTO-UPGRADE GUARD APPLIED",""))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MAP'!$D108)</f>
        <v/>
      </c>
      <c r="D108" t="n">
        <v>-11.9</v>
      </c>
      <c r="E108" s="1" t="n">
        <v>46108</v>
      </c>
      <c r="F108" t="inlineStr">
        <is>
          <t>https://www.espn.com/college-football/story/_/id/48306284/2026-college-football-sp+-rankings-138-fbs-teams</t>
        </is>
      </c>
      <c r="G108">
        <f>IF($D108="","",$D108-AVERAGE($D$6:$D$143))</f>
        <v/>
      </c>
      <c r="H108" t="n">
        <v>-10.8</v>
      </c>
      <c r="I108" s="1" t="n">
        <v>46222</v>
      </c>
      <c r="J108" t="inlineStr">
        <is>
          <t>https://www.espn.com/college-football/fpi</t>
        </is>
      </c>
      <c r="K108">
        <f>IF($H108="","",$H108-AVERAGE($H$6:$H$143))</f>
        <v/>
      </c>
      <c r="M108">
        <f>IF($L108="","",IF($C108="FBS-RECLASSIFYING",IF($L108&lt;0,$L108,$L108*(1-SETTINGS!$B$16)),$L108*(1-SETTINGS!$B$15)))</f>
        <v/>
      </c>
      <c r="P108">
        <f>IF($M108="","",$M108-AVERAGE($M$6:$M$143))</f>
        <v/>
      </c>
      <c r="Q108" t="n">
        <v>-16.5</v>
      </c>
      <c r="R108" s="1" t="n">
        <v>46222</v>
      </c>
      <c r="S108" t="inlineStr">
        <is>
          <t>https://www.teamrankings.com/college-football/ranking/predictive-by-other</t>
        </is>
      </c>
      <c r="T108">
        <f>IF($Q108="","",$Q108-AVERAGE($Q$6:$Q$143))</f>
        <v/>
      </c>
      <c r="X108">
        <f>IF($U108="","",$U108-AVERAGE($U$6:$U$143))</f>
        <v/>
      </c>
      <c r="Y108">
        <f>IF($A108="","",SETTINGS!$B$28*ISNUMBER($G108)+SETTINGS!$B$29*ISNUMBER($K108)+SETTINGS!$B$30*ISNUMBER($P108)+SETTINGS!$B$31*ISNUMBER($T108)+SETTINGS!$B$32*ISNUMBER($X108))</f>
        <v/>
      </c>
      <c r="Z108">
        <f>IF($A108="","",IF($Y108=0,"",(SETTINGS!$B$28*IF(ISNUMBER($G108),$G108,0)+SETTINGS!$B$29*IF(ISNUMBER($K108),$K108,0)+SETTINGS!$B$30*IF(ISNUMBER($P108),$P108,0)+SETTINGS!$B$31*IF(ISNUMBER($T108),$T108,0)+SETTINGS!$B$32*IF(ISNUMBER($X108),$X108,0))/$Y108))</f>
        <v/>
      </c>
      <c r="AA108">
        <f>IF($A108="","",COUNT($D108,$H108,$L108,$Q108,$U108))</f>
        <v/>
      </c>
      <c r="AB108">
        <f>IF($A108="","",IF($AA108&lt;=1,"SINGLE-SOURCE / LOW CONFIDENCE",""))</f>
        <v/>
      </c>
      <c r="AC108">
        <f>IF($A108="","",IF(AND($C108="FBS-RECLASSIFYING",ISNUMBER($L108),$L108&lt;0),"NO-AUTO-UPGRADE GUARD APPLIED",""))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MAP'!$D109)</f>
        <v/>
      </c>
      <c r="D109" t="n">
        <v>-12.4</v>
      </c>
      <c r="E109" s="1" t="n">
        <v>46108</v>
      </c>
      <c r="F109" t="inlineStr">
        <is>
          <t>https://www.espn.com/college-football/story/_/id/48306284/2026-college-football-sp+-rankings-138-fbs-teams</t>
        </is>
      </c>
      <c r="G109">
        <f>IF($D109="","",$D109-AVERAGE($D$6:$D$143))</f>
        <v/>
      </c>
      <c r="H109" t="n">
        <v>-12.8</v>
      </c>
      <c r="I109" s="1" t="n">
        <v>46222</v>
      </c>
      <c r="J109" t="inlineStr">
        <is>
          <t>https://www.espn.com/college-football/fpi</t>
        </is>
      </c>
      <c r="K109">
        <f>IF($H109="","",$H109-AVERAGE($H$6:$H$143))</f>
        <v/>
      </c>
      <c r="M109">
        <f>IF($L109="","",IF($C109="FBS-RECLASSIFYING",IF($L109&lt;0,$L109,$L109*(1-SETTINGS!$B$16)),$L109*(1-SETTINGS!$B$15)))</f>
        <v/>
      </c>
      <c r="P109">
        <f>IF($M109="","",$M109-AVERAGE($M$6:$M$143))</f>
        <v/>
      </c>
      <c r="Q109" t="n">
        <v>-12.6</v>
      </c>
      <c r="R109" s="1" t="n">
        <v>46222</v>
      </c>
      <c r="S109" t="inlineStr">
        <is>
          <t>https://www.teamrankings.com/college-football/ranking/predictive-by-other</t>
        </is>
      </c>
      <c r="T109">
        <f>IF($Q109="","",$Q109-AVERAGE($Q$6:$Q$143))</f>
        <v/>
      </c>
      <c r="X109">
        <f>IF($U109="","",$U109-AVERAGE($U$6:$U$143))</f>
        <v/>
      </c>
      <c r="Y109">
        <f>IF($A109="","",SETTINGS!$B$28*ISNUMBER($G109)+SETTINGS!$B$29*ISNUMBER($K109)+SETTINGS!$B$30*ISNUMBER($P109)+SETTINGS!$B$31*ISNUMBER($T109)+SETTINGS!$B$32*ISNUMBER($X109))</f>
        <v/>
      </c>
      <c r="Z109">
        <f>IF($A109="","",IF($Y109=0,"",(SETTINGS!$B$28*IF(ISNUMBER($G109),$G109,0)+SETTINGS!$B$29*IF(ISNUMBER($K109),$K109,0)+SETTINGS!$B$30*IF(ISNUMBER($P109),$P109,0)+SETTINGS!$B$31*IF(ISNUMBER($T109),$T109,0)+SETTINGS!$B$32*IF(ISNUMBER($X109),$X109,0))/$Y109))</f>
        <v/>
      </c>
      <c r="AA109">
        <f>IF($A109="","",COUNT($D109,$H109,$L109,$Q109,$U109))</f>
        <v/>
      </c>
      <c r="AB109">
        <f>IF($A109="","",IF($AA109&lt;=1,"SINGLE-SOURCE / LOW CONFIDENCE",""))</f>
        <v/>
      </c>
      <c r="AC109">
        <f>IF($A109="","",IF(AND($C109="FBS-RECLASSIFYING",ISNUMBER($L109),$L109&lt;0),"NO-AUTO-UPGRADE GUARD APPLIED",""))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MAP'!$D110)</f>
        <v/>
      </c>
      <c r="D110" t="n">
        <v>-15</v>
      </c>
      <c r="E110" s="1" t="n">
        <v>46108</v>
      </c>
      <c r="F110" t="inlineStr">
        <is>
          <t>https://www.espn.com/college-football/story/_/id/48306284/2026-college-football-sp+-rankings-138-fbs-teams</t>
        </is>
      </c>
      <c r="G110">
        <f>IF($D110="","",$D110-AVERAGE($D$6:$D$143))</f>
        <v/>
      </c>
      <c r="H110" t="n">
        <v>-16.3</v>
      </c>
      <c r="I110" s="1" t="n">
        <v>46222</v>
      </c>
      <c r="J110" t="inlineStr">
        <is>
          <t>https://www.espn.com/college-football/fpi</t>
        </is>
      </c>
      <c r="K110">
        <f>IF($H110="","",$H110-AVERAGE($H$6:$H$143))</f>
        <v/>
      </c>
      <c r="M110">
        <f>IF($L110="","",IF($C110="FBS-RECLASSIFYING",IF($L110&lt;0,$L110,$L110*(1-SETTINGS!$B$16)),$L110*(1-SETTINGS!$B$15)))</f>
        <v/>
      </c>
      <c r="P110">
        <f>IF($M110="","",$M110-AVERAGE($M$6:$M$143))</f>
        <v/>
      </c>
      <c r="Q110" t="n">
        <v>-13.9</v>
      </c>
      <c r="R110" s="1" t="n">
        <v>46222</v>
      </c>
      <c r="S110" t="inlineStr">
        <is>
          <t>https://www.teamrankings.com/college-football/ranking/predictive-by-other</t>
        </is>
      </c>
      <c r="T110">
        <f>IF($Q110="","",$Q110-AVERAGE($Q$6:$Q$143))</f>
        <v/>
      </c>
      <c r="X110">
        <f>IF($U110="","",$U110-AVERAGE($U$6:$U$143))</f>
        <v/>
      </c>
      <c r="Y110">
        <f>IF($A110="","",SETTINGS!$B$28*ISNUMBER($G110)+SETTINGS!$B$29*ISNUMBER($K110)+SETTINGS!$B$30*ISNUMBER($P110)+SETTINGS!$B$31*ISNUMBER($T110)+SETTINGS!$B$32*ISNUMBER($X110))</f>
        <v/>
      </c>
      <c r="Z110">
        <f>IF($A110="","",IF($Y110=0,"",(SETTINGS!$B$28*IF(ISNUMBER($G110),$G110,0)+SETTINGS!$B$29*IF(ISNUMBER($K110),$K110,0)+SETTINGS!$B$30*IF(ISNUMBER($P110),$P110,0)+SETTINGS!$B$31*IF(ISNUMBER($T110),$T110,0)+SETTINGS!$B$32*IF(ISNUMBER($X110),$X110,0))/$Y110))</f>
        <v/>
      </c>
      <c r="AA110">
        <f>IF($A110="","",COUNT($D110,$H110,$L110,$Q110,$U110))</f>
        <v/>
      </c>
      <c r="AB110">
        <f>IF($A110="","",IF($AA110&lt;=1,"SINGLE-SOURCE / LOW CONFIDENCE",""))</f>
        <v/>
      </c>
      <c r="AC110">
        <f>IF($A110="","",IF(AND($C110="FBS-RECLASSIFYING",ISNUMBER($L110),$L110&lt;0),"NO-AUTO-UPGRADE GUARD APPLIED",""))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MAP'!$D111)</f>
        <v/>
      </c>
      <c r="D111" t="n">
        <v>-20.1</v>
      </c>
      <c r="E111" s="1" t="n">
        <v>46108</v>
      </c>
      <c r="F111" t="inlineStr">
        <is>
          <t>https://www.espn.com/college-football/story/_/id/48306284/2026-college-football-sp+-rankings-138-fbs-teams</t>
        </is>
      </c>
      <c r="G111">
        <f>IF($D111="","",$D111-AVERAGE($D$6:$D$143))</f>
        <v/>
      </c>
      <c r="H111" t="n">
        <v>-17.9</v>
      </c>
      <c r="I111" s="1" t="n">
        <v>46222</v>
      </c>
      <c r="J111" t="inlineStr">
        <is>
          <t>https://www.espn.com/college-football/fpi</t>
        </is>
      </c>
      <c r="K111">
        <f>IF($H111="","",$H111-AVERAGE($H$6:$H$143))</f>
        <v/>
      </c>
      <c r="M111">
        <f>IF($L111="","",IF($C111="FBS-RECLASSIFYING",IF($L111&lt;0,$L111,$L111*(1-SETTINGS!$B$16)),$L111*(1-SETTINGS!$B$15)))</f>
        <v/>
      </c>
      <c r="P111">
        <f>IF($M111="","",$M111-AVERAGE($M$6:$M$143))</f>
        <v/>
      </c>
      <c r="Q111" t="n">
        <v>-22.1</v>
      </c>
      <c r="R111" s="1" t="n">
        <v>46222</v>
      </c>
      <c r="S111" t="inlineStr">
        <is>
          <t>https://www.teamrankings.com/college-football/ranking/predictive-by-other</t>
        </is>
      </c>
      <c r="T111">
        <f>IF($Q111="","",$Q111-AVERAGE($Q$6:$Q$143))</f>
        <v/>
      </c>
      <c r="X111">
        <f>IF($U111="","",$U111-AVERAGE($U$6:$U$143))</f>
        <v/>
      </c>
      <c r="Y111">
        <f>IF($A111="","",SETTINGS!$B$28*ISNUMBER($G111)+SETTINGS!$B$29*ISNUMBER($K111)+SETTINGS!$B$30*ISNUMBER($P111)+SETTINGS!$B$31*ISNUMBER($T111)+SETTINGS!$B$32*ISNUMBER($X111))</f>
        <v/>
      </c>
      <c r="Z111">
        <f>IF($A111="","",IF($Y111=0,"",(SETTINGS!$B$28*IF(ISNUMBER($G111),$G111,0)+SETTINGS!$B$29*IF(ISNUMBER($K111),$K111,0)+SETTINGS!$B$30*IF(ISNUMBER($P111),$P111,0)+SETTINGS!$B$31*IF(ISNUMBER($T111),$T111,0)+SETTINGS!$B$32*IF(ISNUMBER($X111),$X111,0))/$Y111))</f>
        <v/>
      </c>
      <c r="AA111">
        <f>IF($A111="","",COUNT($D111,$H111,$L111,$Q111,$U111))</f>
        <v/>
      </c>
      <c r="AB111">
        <f>IF($A111="","",IF($AA111&lt;=1,"SINGLE-SOURCE / LOW CONFIDENCE",""))</f>
        <v/>
      </c>
      <c r="AC111">
        <f>IF($A111="","",IF(AND($C111="FBS-RECLASSIFYING",ISNUMBER($L111),$L111&lt;0),"NO-AUTO-UPGRADE GUARD APPLIED",""))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MAP'!$D112)</f>
        <v/>
      </c>
      <c r="D112" t="n">
        <v>-2.9</v>
      </c>
      <c r="E112" s="1" t="n">
        <v>46108</v>
      </c>
      <c r="F112" t="inlineStr">
        <is>
          <t>https://www.espn.com/college-football/story/_/id/48306284/2026-college-football-sp+-rankings-138-fbs-teams</t>
        </is>
      </c>
      <c r="G112">
        <f>IF($D112="","",$D112-AVERAGE($D$6:$D$143))</f>
        <v/>
      </c>
      <c r="H112" t="n">
        <v>-7</v>
      </c>
      <c r="I112" s="1" t="n">
        <v>46222</v>
      </c>
      <c r="J112" t="inlineStr">
        <is>
          <t>https://www.espn.com/college-football/fpi</t>
        </is>
      </c>
      <c r="K112">
        <f>IF($H112="","",$H112-AVERAGE($H$6:$H$143))</f>
        <v/>
      </c>
      <c r="M112">
        <f>IF($L112="","",IF($C112="FBS-RECLASSIFYING",IF($L112&lt;0,$L112,$L112*(1-SETTINGS!$B$16)),$L112*(1-SETTINGS!$B$15)))</f>
        <v/>
      </c>
      <c r="P112">
        <f>IF($M112="","",$M112-AVERAGE($M$6:$M$143))</f>
        <v/>
      </c>
      <c r="Q112" t="n">
        <v>-10.6</v>
      </c>
      <c r="R112" s="1" t="n">
        <v>46222</v>
      </c>
      <c r="S112" t="inlineStr">
        <is>
          <t>https://www.teamrankings.com/college-football/ranking/predictive-by-other</t>
        </is>
      </c>
      <c r="T112">
        <f>IF($Q112="","",$Q112-AVERAGE($Q$6:$Q$143))</f>
        <v/>
      </c>
      <c r="X112">
        <f>IF($U112="","",$U112-AVERAGE($U$6:$U$143))</f>
        <v/>
      </c>
      <c r="Y112">
        <f>IF($A112="","",SETTINGS!$B$28*ISNUMBER($G112)+SETTINGS!$B$29*ISNUMBER($K112)+SETTINGS!$B$30*ISNUMBER($P112)+SETTINGS!$B$31*ISNUMBER($T112)+SETTINGS!$B$32*ISNUMBER($X112))</f>
        <v/>
      </c>
      <c r="Z112">
        <f>IF($A112="","",IF($Y112=0,"",(SETTINGS!$B$28*IF(ISNUMBER($G112),$G112,0)+SETTINGS!$B$29*IF(ISNUMBER($K112),$K112,0)+SETTINGS!$B$30*IF(ISNUMBER($P112),$P112,0)+SETTINGS!$B$31*IF(ISNUMBER($T112),$T112,0)+SETTINGS!$B$32*IF(ISNUMBER($X112),$X112,0))/$Y112))</f>
        <v/>
      </c>
      <c r="AA112">
        <f>IF($A112="","",COUNT($D112,$H112,$L112,$Q112,$U112))</f>
        <v/>
      </c>
      <c r="AB112">
        <f>IF($A112="","",IF($AA112&lt;=1,"SINGLE-SOURCE / LOW CONFIDENCE",""))</f>
        <v/>
      </c>
      <c r="AC112">
        <f>IF($A112="","",IF(AND($C112="FBS-RECLASSIFYING",ISNUMBER($L112),$L112&lt;0),"NO-AUTO-UPGRADE GUARD APPLIED",""))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MAP'!$D113)</f>
        <v/>
      </c>
      <c r="D113" t="n">
        <v>-13.6</v>
      </c>
      <c r="E113" s="1" t="n">
        <v>46108</v>
      </c>
      <c r="F113" t="inlineStr">
        <is>
          <t>https://www.espn.com/college-football/story/_/id/48306284/2026-college-football-sp+-rankings-138-fbs-teams</t>
        </is>
      </c>
      <c r="G113">
        <f>IF($D113="","",$D113-AVERAGE($D$6:$D$143))</f>
        <v/>
      </c>
      <c r="H113" t="n">
        <v>-8</v>
      </c>
      <c r="I113" s="1" t="n">
        <v>46222</v>
      </c>
      <c r="J113" t="inlineStr">
        <is>
          <t>https://www.espn.com/college-football/fpi</t>
        </is>
      </c>
      <c r="K113">
        <f>IF($H113="","",$H113-AVERAGE($H$6:$H$143))</f>
        <v/>
      </c>
      <c r="M113">
        <f>IF($L113="","",IF($C113="FBS-RECLASSIFYING",IF($L113&lt;0,$L113,$L113*(1-SETTINGS!$B$16)),$L113*(1-SETTINGS!$B$15)))</f>
        <v/>
      </c>
      <c r="P113">
        <f>IF($M113="","",$M113-AVERAGE($M$6:$M$143))</f>
        <v/>
      </c>
      <c r="Q113" t="n">
        <v>-10.9</v>
      </c>
      <c r="R113" s="1" t="n">
        <v>46222</v>
      </c>
      <c r="S113" t="inlineStr">
        <is>
          <t>https://www.teamrankings.com/college-football/ranking/predictive-by-other</t>
        </is>
      </c>
      <c r="T113">
        <f>IF($Q113="","",$Q113-AVERAGE($Q$6:$Q$143))</f>
        <v/>
      </c>
      <c r="X113">
        <f>IF($U113="","",$U113-AVERAGE($U$6:$U$143))</f>
        <v/>
      </c>
      <c r="Y113">
        <f>IF($A113="","",SETTINGS!$B$28*ISNUMBER($G113)+SETTINGS!$B$29*ISNUMBER($K113)+SETTINGS!$B$30*ISNUMBER($P113)+SETTINGS!$B$31*ISNUMBER($T113)+SETTINGS!$B$32*ISNUMBER($X113))</f>
        <v/>
      </c>
      <c r="Z113">
        <f>IF($A113="","",IF($Y113=0,"",(SETTINGS!$B$28*IF(ISNUMBER($G113),$G113,0)+SETTINGS!$B$29*IF(ISNUMBER($K113),$K113,0)+SETTINGS!$B$30*IF(ISNUMBER($P113),$P113,0)+SETTINGS!$B$31*IF(ISNUMBER($T113),$T113,0)+SETTINGS!$B$32*IF(ISNUMBER($X113),$X113,0))/$Y113))</f>
        <v/>
      </c>
      <c r="AA113">
        <f>IF($A113="","",COUNT($D113,$H113,$L113,$Q113,$U113))</f>
        <v/>
      </c>
      <c r="AB113">
        <f>IF($A113="","",IF($AA113&lt;=1,"SINGLE-SOURCE / LOW CONFIDENCE",""))</f>
        <v/>
      </c>
      <c r="AC113">
        <f>IF($A113="","",IF(AND($C113="FBS-RECLASSIFYING",ISNUMBER($L113),$L113&lt;0),"NO-AUTO-UPGRADE GUARD APPLIED",""))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MAP'!$D114)</f>
        <v/>
      </c>
      <c r="D114" t="n">
        <v>-22.7</v>
      </c>
      <c r="E114" s="1" t="n">
        <v>46108</v>
      </c>
      <c r="F114" t="inlineStr">
        <is>
          <t>https://www.espn.com/college-football/story/_/id/48306284/2026-college-football-sp+-rankings-138-fbs-teams</t>
        </is>
      </c>
      <c r="G114">
        <f>IF($D114="","",$D114-AVERAGE($D$6:$D$143))</f>
        <v/>
      </c>
      <c r="H114" t="n">
        <v>-10.4</v>
      </c>
      <c r="I114" s="1" t="n">
        <v>46222</v>
      </c>
      <c r="J114" t="inlineStr">
        <is>
          <t>https://www.espn.com/college-football/fpi</t>
        </is>
      </c>
      <c r="K114">
        <f>IF($H114="","",$H114-AVERAGE($H$6:$H$143))</f>
        <v/>
      </c>
      <c r="M114">
        <f>IF($L114="","",IF($C114="FBS-RECLASSIFYING",IF($L114&lt;0,$L114,$L114*(1-SETTINGS!$B$16)),$L114*(1-SETTINGS!$B$15)))</f>
        <v/>
      </c>
      <c r="P114">
        <f>IF($M114="","",$M114-AVERAGE($M$6:$M$143))</f>
        <v/>
      </c>
      <c r="Q114" t="n">
        <v>-19.2</v>
      </c>
      <c r="R114" s="1" t="n">
        <v>46222</v>
      </c>
      <c r="S114" t="inlineStr">
        <is>
          <t>https://www.teamrankings.com/college-football/ranking/predictive-by-other</t>
        </is>
      </c>
      <c r="T114">
        <f>IF($Q114="","",$Q114-AVERAGE($Q$6:$Q$143))</f>
        <v/>
      </c>
      <c r="X114">
        <f>IF($U114="","",$U114-AVERAGE($U$6:$U$143))</f>
        <v/>
      </c>
      <c r="Y114">
        <f>IF($A114="","",SETTINGS!$B$28*ISNUMBER($G114)+SETTINGS!$B$29*ISNUMBER($K114)+SETTINGS!$B$30*ISNUMBER($P114)+SETTINGS!$B$31*ISNUMBER($T114)+SETTINGS!$B$32*ISNUMBER($X114))</f>
        <v/>
      </c>
      <c r="Z114">
        <f>IF($A114="","",IF($Y114=0,"",(SETTINGS!$B$28*IF(ISNUMBER($G114),$G114,0)+SETTINGS!$B$29*IF(ISNUMBER($K114),$K114,0)+SETTINGS!$B$30*IF(ISNUMBER($P114),$P114,0)+SETTINGS!$B$31*IF(ISNUMBER($T114),$T114,0)+SETTINGS!$B$32*IF(ISNUMBER($X114),$X114,0))/$Y114))</f>
        <v/>
      </c>
      <c r="AA114">
        <f>IF($A114="","",COUNT($D114,$H114,$L114,$Q114,$U114))</f>
        <v/>
      </c>
      <c r="AB114">
        <f>IF($A114="","",IF($AA114&lt;=1,"SINGLE-SOURCE / LOW CONFIDENCE",""))</f>
        <v/>
      </c>
      <c r="AC114">
        <f>IF($A114="","",IF(AND($C114="FBS-RECLASSIFYING",ISNUMBER($L114),$L114&lt;0),"NO-AUTO-UPGRADE GUARD APPLIED",""))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MAP'!$D115)</f>
        <v/>
      </c>
      <c r="D115" t="n">
        <v>-11.5</v>
      </c>
      <c r="E115" s="1" t="n">
        <v>46108</v>
      </c>
      <c r="F115" t="inlineStr">
        <is>
          <t>https://www.espn.com/college-football/story/_/id/48306284/2026-college-football-sp+-rankings-138-fbs-teams</t>
        </is>
      </c>
      <c r="G115">
        <f>IF($D115="","",$D115-AVERAGE($D$6:$D$143))</f>
        <v/>
      </c>
      <c r="H115" t="n">
        <v>-3</v>
      </c>
      <c r="I115" s="1" t="n">
        <v>46222</v>
      </c>
      <c r="J115" t="inlineStr">
        <is>
          <t>https://www.espn.com/college-football/fpi</t>
        </is>
      </c>
      <c r="K115">
        <f>IF($H115="","",$H115-AVERAGE($H$6:$H$143))</f>
        <v/>
      </c>
      <c r="M115">
        <f>IF($L115="","",IF($C115="FBS-RECLASSIFYING",IF($L115&lt;0,$L115,$L115*(1-SETTINGS!$B$16)),$L115*(1-SETTINGS!$B$15)))</f>
        <v/>
      </c>
      <c r="P115">
        <f>IF($M115="","",$M115-AVERAGE($M$6:$M$143))</f>
        <v/>
      </c>
      <c r="Q115" t="n">
        <v>-8.6</v>
      </c>
      <c r="R115" s="1" t="n">
        <v>46222</v>
      </c>
      <c r="S115" t="inlineStr">
        <is>
          <t>https://www.teamrankings.com/college-football/ranking/predictive-by-other</t>
        </is>
      </c>
      <c r="T115">
        <f>IF($Q115="","",$Q115-AVERAGE($Q$6:$Q$143))</f>
        <v/>
      </c>
      <c r="X115">
        <f>IF($U115="","",$U115-AVERAGE($U$6:$U$143))</f>
        <v/>
      </c>
      <c r="Y115">
        <f>IF($A115="","",SETTINGS!$B$28*ISNUMBER($G115)+SETTINGS!$B$29*ISNUMBER($K115)+SETTINGS!$B$30*ISNUMBER($P115)+SETTINGS!$B$31*ISNUMBER($T115)+SETTINGS!$B$32*ISNUMBER($X115))</f>
        <v/>
      </c>
      <c r="Z115">
        <f>IF($A115="","",IF($Y115=0,"",(SETTINGS!$B$28*IF(ISNUMBER($G115),$G115,0)+SETTINGS!$B$29*IF(ISNUMBER($K115),$K115,0)+SETTINGS!$B$30*IF(ISNUMBER($P115),$P115,0)+SETTINGS!$B$31*IF(ISNUMBER($T115),$T115,0)+SETTINGS!$B$32*IF(ISNUMBER($X115),$X115,0))/$Y115))</f>
        <v/>
      </c>
      <c r="AA115">
        <f>IF($A115="","",COUNT($D115,$H115,$L115,$Q115,$U115))</f>
        <v/>
      </c>
      <c r="AB115">
        <f>IF($A115="","",IF($AA115&lt;=1,"SINGLE-SOURCE / LOW CONFIDENCE",""))</f>
        <v/>
      </c>
      <c r="AC115">
        <f>IF($A115="","",IF(AND($C115="FBS-RECLASSIFYING",ISNUMBER($L115),$L115&lt;0),"NO-AUTO-UPGRADE GUARD APPLIED",""))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MAP'!$D116)</f>
        <v/>
      </c>
      <c r="D116" t="n">
        <v>-30.9</v>
      </c>
      <c r="E116" s="1" t="n">
        <v>46108</v>
      </c>
      <c r="F116" t="inlineStr">
        <is>
          <t>https://www.espn.com/college-football/story/_/id/48306284/2026-college-football-sp+-rankings-138-fbs-teams</t>
        </is>
      </c>
      <c r="G116">
        <f>IF($D116="","",$D116-AVERAGE($D$6:$D$143))</f>
        <v/>
      </c>
      <c r="H116" t="n">
        <v>-18.8</v>
      </c>
      <c r="I116" s="1" t="n">
        <v>46222</v>
      </c>
      <c r="J116" t="inlineStr">
        <is>
          <t>https://www.espn.com/college-football/fpi</t>
        </is>
      </c>
      <c r="K116">
        <f>IF($H116="","",$H116-AVERAGE($H$6:$H$143))</f>
        <v/>
      </c>
      <c r="M116">
        <f>IF($L116="","",IF($C116="FBS-RECLASSIFYING",IF($L116&lt;0,$L116,$L116*(1-SETTINGS!$B$16)),$L116*(1-SETTINGS!$B$15)))</f>
        <v/>
      </c>
      <c r="P116">
        <f>IF($M116="","",$M116-AVERAGE($M$6:$M$143))</f>
        <v/>
      </c>
      <c r="Q116" t="n">
        <v>-28.5</v>
      </c>
      <c r="R116" s="1" t="n">
        <v>46222</v>
      </c>
      <c r="S116" t="inlineStr">
        <is>
          <t>https://www.teamrankings.com/college-football/ranking/predictive-by-other</t>
        </is>
      </c>
      <c r="T116">
        <f>IF($Q116="","",$Q116-AVERAGE($Q$6:$Q$143))</f>
        <v/>
      </c>
      <c r="X116">
        <f>IF($U116="","",$U116-AVERAGE($U$6:$U$143))</f>
        <v/>
      </c>
      <c r="Y116">
        <f>IF($A116="","",SETTINGS!$B$28*ISNUMBER($G116)+SETTINGS!$B$29*ISNUMBER($K116)+SETTINGS!$B$30*ISNUMBER($P116)+SETTINGS!$B$31*ISNUMBER($T116)+SETTINGS!$B$32*ISNUMBER($X116))</f>
        <v/>
      </c>
      <c r="Z116">
        <f>IF($A116="","",IF($Y116=0,"",(SETTINGS!$B$28*IF(ISNUMBER($G116),$G116,0)+SETTINGS!$B$29*IF(ISNUMBER($K116),$K116,0)+SETTINGS!$B$30*IF(ISNUMBER($P116),$P116,0)+SETTINGS!$B$31*IF(ISNUMBER($T116),$T116,0)+SETTINGS!$B$32*IF(ISNUMBER($X116),$X116,0))/$Y116))</f>
        <v/>
      </c>
      <c r="AA116">
        <f>IF($A116="","",COUNT($D116,$H116,$L116,$Q116,$U116))</f>
        <v/>
      </c>
      <c r="AB116">
        <f>IF($A116="","",IF($AA116&lt;=1,"SINGLE-SOURCE / LOW CONFIDENCE",""))</f>
        <v/>
      </c>
      <c r="AC116">
        <f>IF($A116="","",IF(AND($C116="FBS-RECLASSIFYING",ISNUMBER($L116),$L116&lt;0),"NO-AUTO-UPGRADE GUARD APPLIED",""))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MAP'!$D117)</f>
        <v/>
      </c>
      <c r="D117" t="n">
        <v>-7.2</v>
      </c>
      <c r="E117" s="1" t="n">
        <v>46108</v>
      </c>
      <c r="F117" t="inlineStr">
        <is>
          <t>https://www.espn.com/college-football/story/_/id/48306284/2026-college-football-sp+-rankings-138-fbs-teams</t>
        </is>
      </c>
      <c r="G117">
        <f>IF($D117="","",$D117-AVERAGE($D$6:$D$143))</f>
        <v/>
      </c>
      <c r="H117" t="n">
        <v>-4</v>
      </c>
      <c r="I117" s="1" t="n">
        <v>46222</v>
      </c>
      <c r="J117" t="inlineStr">
        <is>
          <t>https://www.espn.com/college-football/fpi</t>
        </is>
      </c>
      <c r="K117">
        <f>IF($H117="","",$H117-AVERAGE($H$6:$H$143))</f>
        <v/>
      </c>
      <c r="M117">
        <f>IF($L117="","",IF($C117="FBS-RECLASSIFYING",IF($L117&lt;0,$L117,$L117*(1-SETTINGS!$B$16)),$L117*(1-SETTINGS!$B$15)))</f>
        <v/>
      </c>
      <c r="P117">
        <f>IF($M117="","",$M117-AVERAGE($M$6:$M$143))</f>
        <v/>
      </c>
      <c r="Q117" t="n">
        <v>-8.300000000000001</v>
      </c>
      <c r="R117" s="1" t="n">
        <v>46222</v>
      </c>
      <c r="S117" t="inlineStr">
        <is>
          <t>https://www.teamrankings.com/college-football/ranking/predictive-by-other</t>
        </is>
      </c>
      <c r="T117">
        <f>IF($Q117="","",$Q117-AVERAGE($Q$6:$Q$143))</f>
        <v/>
      </c>
      <c r="X117">
        <f>IF($U117="","",$U117-AVERAGE($U$6:$U$143))</f>
        <v/>
      </c>
      <c r="Y117">
        <f>IF($A117="","",SETTINGS!$B$28*ISNUMBER($G117)+SETTINGS!$B$29*ISNUMBER($K117)+SETTINGS!$B$30*ISNUMBER($P117)+SETTINGS!$B$31*ISNUMBER($T117)+SETTINGS!$B$32*ISNUMBER($X117))</f>
        <v/>
      </c>
      <c r="Z117">
        <f>IF($A117="","",IF($Y117=0,"",(SETTINGS!$B$28*IF(ISNUMBER($G117),$G117,0)+SETTINGS!$B$29*IF(ISNUMBER($K117),$K117,0)+SETTINGS!$B$30*IF(ISNUMBER($P117),$P117,0)+SETTINGS!$B$31*IF(ISNUMBER($T117),$T117,0)+SETTINGS!$B$32*IF(ISNUMBER($X117),$X117,0))/$Y117))</f>
        <v/>
      </c>
      <c r="AA117">
        <f>IF($A117="","",COUNT($D117,$H117,$L117,$Q117,$U117))</f>
        <v/>
      </c>
      <c r="AB117">
        <f>IF($A117="","",IF($AA117&lt;=1,"SINGLE-SOURCE / LOW CONFIDENCE",""))</f>
        <v/>
      </c>
      <c r="AC117">
        <f>IF($A117="","",IF(AND($C117="FBS-RECLASSIFYING",ISNUMBER($L117),$L117&lt;0),"NO-AUTO-UPGRADE GUARD APPLIED",""))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MAP'!$D118)</f>
        <v/>
      </c>
      <c r="D118" t="n">
        <v>-2.4</v>
      </c>
      <c r="E118" s="1" t="n">
        <v>46108</v>
      </c>
      <c r="F118" t="inlineStr">
        <is>
          <t>https://www.espn.com/college-football/story/_/id/48306284/2026-college-football-sp+-rankings-138-fbs-teams</t>
        </is>
      </c>
      <c r="G118">
        <f>IF($D118="","",$D118-AVERAGE($D$6:$D$143))</f>
        <v/>
      </c>
      <c r="H118" t="n">
        <v>-6.8</v>
      </c>
      <c r="I118" s="1" t="n">
        <v>46222</v>
      </c>
      <c r="J118" t="inlineStr">
        <is>
          <t>https://www.espn.com/college-football/fpi</t>
        </is>
      </c>
      <c r="K118">
        <f>IF($H118="","",$H118-AVERAGE($H$6:$H$143))</f>
        <v/>
      </c>
      <c r="M118">
        <f>IF($L118="","",IF($C118="FBS-RECLASSIFYING",IF($L118&lt;0,$L118,$L118*(1-SETTINGS!$B$16)),$L118*(1-SETTINGS!$B$15)))</f>
        <v/>
      </c>
      <c r="P118">
        <f>IF($M118="","",$M118-AVERAGE($M$6:$M$143))</f>
        <v/>
      </c>
      <c r="Q118" t="n">
        <v>-7.4</v>
      </c>
      <c r="R118" s="1" t="n">
        <v>46222</v>
      </c>
      <c r="S118" t="inlineStr">
        <is>
          <t>https://www.teamrankings.com/college-football/ranking/predictive-by-other</t>
        </is>
      </c>
      <c r="T118">
        <f>IF($Q118="","",$Q118-AVERAGE($Q$6:$Q$143))</f>
        <v/>
      </c>
      <c r="X118">
        <f>IF($U118="","",$U118-AVERAGE($U$6:$U$143))</f>
        <v/>
      </c>
      <c r="Y118">
        <f>IF($A118="","",SETTINGS!$B$28*ISNUMBER($G118)+SETTINGS!$B$29*ISNUMBER($K118)+SETTINGS!$B$30*ISNUMBER($P118)+SETTINGS!$B$31*ISNUMBER($T118)+SETTINGS!$B$32*ISNUMBER($X118))</f>
        <v/>
      </c>
      <c r="Z118">
        <f>IF($A118="","",IF($Y118=0,"",(SETTINGS!$B$28*IF(ISNUMBER($G118),$G118,0)+SETTINGS!$B$29*IF(ISNUMBER($K118),$K118,0)+SETTINGS!$B$30*IF(ISNUMBER($P118),$P118,0)+SETTINGS!$B$31*IF(ISNUMBER($T118),$T118,0)+SETTINGS!$B$32*IF(ISNUMBER($X118),$X118,0))/$Y118))</f>
        <v/>
      </c>
      <c r="AA118">
        <f>IF($A118="","",COUNT($D118,$H118,$L118,$Q118,$U118))</f>
        <v/>
      </c>
      <c r="AB118">
        <f>IF($A118="","",IF($AA118&lt;=1,"SINGLE-SOURCE / LOW CONFIDENCE",""))</f>
        <v/>
      </c>
      <c r="AC118">
        <f>IF($A118="","",IF(AND($C118="FBS-RECLASSIFYING",ISNUMBER($L118),$L118&lt;0),"NO-AUTO-UPGRADE GUARD APPLIED",""))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MAP'!$D119)</f>
        <v/>
      </c>
      <c r="D119" t="n">
        <v>-3.9</v>
      </c>
      <c r="E119" s="1" t="n">
        <v>46108</v>
      </c>
      <c r="F119" t="inlineStr">
        <is>
          <t>https://www.espn.com/college-football/story/_/id/48306284/2026-college-football-sp+-rankings-138-fbs-teams</t>
        </is>
      </c>
      <c r="G119">
        <f>IF($D119="","",$D119-AVERAGE($D$6:$D$143))</f>
        <v/>
      </c>
      <c r="H119" t="n">
        <v>-2.4</v>
      </c>
      <c r="I119" s="1" t="n">
        <v>46222</v>
      </c>
      <c r="J119" t="inlineStr">
        <is>
          <t>https://www.espn.com/college-football/fpi</t>
        </is>
      </c>
      <c r="K119">
        <f>IF($H119="","",$H119-AVERAGE($H$6:$H$143))</f>
        <v/>
      </c>
      <c r="M119">
        <f>IF($L119="","",IF($C119="FBS-RECLASSIFYING",IF($L119&lt;0,$L119,$L119*(1-SETTINGS!$B$16)),$L119*(1-SETTINGS!$B$15)))</f>
        <v/>
      </c>
      <c r="P119">
        <f>IF($M119="","",$M119-AVERAGE($M$6:$M$143))</f>
        <v/>
      </c>
      <c r="Q119" t="n">
        <v>-6.3</v>
      </c>
      <c r="R119" s="1" t="n">
        <v>46222</v>
      </c>
      <c r="S119" t="inlineStr">
        <is>
          <t>https://www.teamrankings.com/college-football/ranking/predictive-by-other</t>
        </is>
      </c>
      <c r="T119">
        <f>IF($Q119="","",$Q119-AVERAGE($Q$6:$Q$143))</f>
        <v/>
      </c>
      <c r="X119">
        <f>IF($U119="","",$U119-AVERAGE($U$6:$U$143))</f>
        <v/>
      </c>
      <c r="Y119">
        <f>IF($A119="","",SETTINGS!$B$28*ISNUMBER($G119)+SETTINGS!$B$29*ISNUMBER($K119)+SETTINGS!$B$30*ISNUMBER($P119)+SETTINGS!$B$31*ISNUMBER($T119)+SETTINGS!$B$32*ISNUMBER($X119))</f>
        <v/>
      </c>
      <c r="Z119">
        <f>IF($A119="","",IF($Y119=0,"",(SETTINGS!$B$28*IF(ISNUMBER($G119),$G119,0)+SETTINGS!$B$29*IF(ISNUMBER($K119),$K119,0)+SETTINGS!$B$30*IF(ISNUMBER($P119),$P119,0)+SETTINGS!$B$31*IF(ISNUMBER($T119),$T119,0)+SETTINGS!$B$32*IF(ISNUMBER($X119),$X119,0))/$Y119))</f>
        <v/>
      </c>
      <c r="AA119">
        <f>IF($A119="","",COUNT($D119,$H119,$L119,$Q119,$U119))</f>
        <v/>
      </c>
      <c r="AB119">
        <f>IF($A119="","",IF($AA119&lt;=1,"SINGLE-SOURCE / LOW CONFIDENCE",""))</f>
        <v/>
      </c>
      <c r="AC119">
        <f>IF($A119="","",IF(AND($C119="FBS-RECLASSIFYING",ISNUMBER($L119),$L119&lt;0),"NO-AUTO-UPGRADE GUARD APPLIED",""))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MAP'!$D120)</f>
        <v/>
      </c>
      <c r="D120" t="n">
        <v>-12.2</v>
      </c>
      <c r="E120" s="1" t="n">
        <v>46108</v>
      </c>
      <c r="F120" t="inlineStr">
        <is>
          <t>https://www.espn.com/college-football/story/_/id/48306284/2026-college-football-sp+-rankings-138-fbs-teams</t>
        </is>
      </c>
      <c r="G120">
        <f>IF($D120="","",$D120-AVERAGE($D$6:$D$143))</f>
        <v/>
      </c>
      <c r="H120" t="n">
        <v>-11.9</v>
      </c>
      <c r="I120" s="1" t="n">
        <v>46222</v>
      </c>
      <c r="J120" t="inlineStr">
        <is>
          <t>https://www.espn.com/college-football/fpi</t>
        </is>
      </c>
      <c r="K120">
        <f>IF($H120="","",$H120-AVERAGE($H$6:$H$143))</f>
        <v/>
      </c>
      <c r="M120">
        <f>IF($L120="","",IF($C120="FBS-RECLASSIFYING",IF($L120&lt;0,$L120,$L120*(1-SETTINGS!$B$16)),$L120*(1-SETTINGS!$B$15)))</f>
        <v/>
      </c>
      <c r="P120">
        <f>IF($M120="","",$M120-AVERAGE($M$6:$M$143))</f>
        <v/>
      </c>
      <c r="Q120" t="n">
        <v>-18.1</v>
      </c>
      <c r="R120" s="1" t="n">
        <v>46222</v>
      </c>
      <c r="S120" t="inlineStr">
        <is>
          <t>https://www.teamrankings.com/college-football/ranking/predictive-by-other</t>
        </is>
      </c>
      <c r="T120">
        <f>IF($Q120="","",$Q120-AVERAGE($Q$6:$Q$143))</f>
        <v/>
      </c>
      <c r="X120">
        <f>IF($U120="","",$U120-AVERAGE($U$6:$U$143))</f>
        <v/>
      </c>
      <c r="Y120">
        <f>IF($A120="","",SETTINGS!$B$28*ISNUMBER($G120)+SETTINGS!$B$29*ISNUMBER($K120)+SETTINGS!$B$30*ISNUMBER($P120)+SETTINGS!$B$31*ISNUMBER($T120)+SETTINGS!$B$32*ISNUMBER($X120))</f>
        <v/>
      </c>
      <c r="Z120">
        <f>IF($A120="","",IF($Y120=0,"",(SETTINGS!$B$28*IF(ISNUMBER($G120),$G120,0)+SETTINGS!$B$29*IF(ISNUMBER($K120),$K120,0)+SETTINGS!$B$30*IF(ISNUMBER($P120),$P120,0)+SETTINGS!$B$31*IF(ISNUMBER($T120),$T120,0)+SETTINGS!$B$32*IF(ISNUMBER($X120),$X120,0))/$Y120))</f>
        <v/>
      </c>
      <c r="AA120">
        <f>IF($A120="","",COUNT($D120,$H120,$L120,$Q120,$U120))</f>
        <v/>
      </c>
      <c r="AB120">
        <f>IF($A120="","",IF($AA120&lt;=1,"SINGLE-SOURCE / LOW CONFIDENCE",""))</f>
        <v/>
      </c>
      <c r="AC120">
        <f>IF($A120="","",IF(AND($C120="FBS-RECLASSIFYING",ISNUMBER($L120),$L120&lt;0),"NO-AUTO-UPGRADE GUARD APPLIED",""))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MAP'!$D121)</f>
        <v/>
      </c>
      <c r="D121" t="n">
        <v>-0.5</v>
      </c>
      <c r="E121" s="1" t="n">
        <v>46108</v>
      </c>
      <c r="F121" t="inlineStr">
        <is>
          <t>https://www.espn.com/college-football/story/_/id/48306284/2026-college-football-sp+-rankings-138-fbs-teams</t>
        </is>
      </c>
      <c r="G121">
        <f>IF($D121="","",$D121-AVERAGE($D$6:$D$143))</f>
        <v/>
      </c>
      <c r="H121" t="n">
        <v>-3.5</v>
      </c>
      <c r="I121" s="1" t="n">
        <v>46222</v>
      </c>
      <c r="J121" t="inlineStr">
        <is>
          <t>https://www.espn.com/college-football/fpi</t>
        </is>
      </c>
      <c r="K121">
        <f>IF($H121="","",$H121-AVERAGE($H$6:$H$143))</f>
        <v/>
      </c>
      <c r="M121">
        <f>IF($L121="","",IF($C121="FBS-RECLASSIFYING",IF($L121&lt;0,$L121,$L121*(1-SETTINGS!$B$16)),$L121*(1-SETTINGS!$B$15)))</f>
        <v/>
      </c>
      <c r="P121">
        <f>IF($M121="","",$M121-AVERAGE($M$6:$M$143))</f>
        <v/>
      </c>
      <c r="Q121" t="n">
        <v>-2.1</v>
      </c>
      <c r="R121" s="1" t="n">
        <v>46222</v>
      </c>
      <c r="S121" t="inlineStr">
        <is>
          <t>https://www.teamrankings.com/college-football/ranking/predictive-by-other</t>
        </is>
      </c>
      <c r="T121">
        <f>IF($Q121="","",$Q121-AVERAGE($Q$6:$Q$143))</f>
        <v/>
      </c>
      <c r="X121">
        <f>IF($U121="","",$U121-AVERAGE($U$6:$U$143))</f>
        <v/>
      </c>
      <c r="Y121">
        <f>IF($A121="","",SETTINGS!$B$28*ISNUMBER($G121)+SETTINGS!$B$29*ISNUMBER($K121)+SETTINGS!$B$30*ISNUMBER($P121)+SETTINGS!$B$31*ISNUMBER($T121)+SETTINGS!$B$32*ISNUMBER($X121))</f>
        <v/>
      </c>
      <c r="Z121">
        <f>IF($A121="","",IF($Y121=0,"",(SETTINGS!$B$28*IF(ISNUMBER($G121),$G121,0)+SETTINGS!$B$29*IF(ISNUMBER($K121),$K121,0)+SETTINGS!$B$30*IF(ISNUMBER($P121),$P121,0)+SETTINGS!$B$31*IF(ISNUMBER($T121),$T121,0)+SETTINGS!$B$32*IF(ISNUMBER($X121),$X121,0))/$Y121))</f>
        <v/>
      </c>
      <c r="AA121">
        <f>IF($A121="","",COUNT($D121,$H121,$L121,$Q121,$U121))</f>
        <v/>
      </c>
      <c r="AB121">
        <f>IF($A121="","",IF($AA121&lt;=1,"SINGLE-SOURCE / LOW CONFIDENCE",""))</f>
        <v/>
      </c>
      <c r="AC121">
        <f>IF($A121="","",IF(AND($C121="FBS-RECLASSIFYING",ISNUMBER($L121),$L121&lt;0),"NO-AUTO-UPGRADE GUARD APPLIED",""))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MAP'!$D122)</f>
        <v/>
      </c>
      <c r="D122" t="n">
        <v>-1.4</v>
      </c>
      <c r="E122" s="1" t="n">
        <v>46108</v>
      </c>
      <c r="F122" t="inlineStr">
        <is>
          <t>https://www.espn.com/college-football/story/_/id/48306284/2026-college-football-sp+-rankings-138-fbs-teams</t>
        </is>
      </c>
      <c r="G122">
        <f>IF($D122="","",$D122-AVERAGE($D$6:$D$143))</f>
        <v/>
      </c>
      <c r="H122" t="n">
        <v>-8.300000000000001</v>
      </c>
      <c r="I122" s="1" t="n">
        <v>46222</v>
      </c>
      <c r="J122" t="inlineStr">
        <is>
          <t>https://www.espn.com/college-football/fpi</t>
        </is>
      </c>
      <c r="K122">
        <f>IF($H122="","",$H122-AVERAGE($H$6:$H$143))</f>
        <v/>
      </c>
      <c r="M122">
        <f>IF($L122="","",IF($C122="FBS-RECLASSIFYING",IF($L122&lt;0,$L122,$L122*(1-SETTINGS!$B$16)),$L122*(1-SETTINGS!$B$15)))</f>
        <v/>
      </c>
      <c r="P122">
        <f>IF($M122="","",$M122-AVERAGE($M$6:$M$143))</f>
        <v/>
      </c>
      <c r="Q122" t="n">
        <v>-2.8</v>
      </c>
      <c r="R122" s="1" t="n">
        <v>46222</v>
      </c>
      <c r="S122" t="inlineStr">
        <is>
          <t>https://www.teamrankings.com/college-football/ranking/predictive-by-other</t>
        </is>
      </c>
      <c r="T122">
        <f>IF($Q122="","",$Q122-AVERAGE($Q$6:$Q$143))</f>
        <v/>
      </c>
      <c r="X122">
        <f>IF($U122="","",$U122-AVERAGE($U$6:$U$143))</f>
        <v/>
      </c>
      <c r="Y122">
        <f>IF($A122="","",SETTINGS!$B$28*ISNUMBER($G122)+SETTINGS!$B$29*ISNUMBER($K122)+SETTINGS!$B$30*ISNUMBER($P122)+SETTINGS!$B$31*ISNUMBER($T122)+SETTINGS!$B$32*ISNUMBER($X122))</f>
        <v/>
      </c>
      <c r="Z122">
        <f>IF($A122="","",IF($Y122=0,"",(SETTINGS!$B$28*IF(ISNUMBER($G122),$G122,0)+SETTINGS!$B$29*IF(ISNUMBER($K122),$K122,0)+SETTINGS!$B$30*IF(ISNUMBER($P122),$P122,0)+SETTINGS!$B$31*IF(ISNUMBER($T122),$T122,0)+SETTINGS!$B$32*IF(ISNUMBER($X122),$X122,0))/$Y122))</f>
        <v/>
      </c>
      <c r="AA122">
        <f>IF($A122="","",COUNT($D122,$H122,$L122,$Q122,$U122))</f>
        <v/>
      </c>
      <c r="AB122">
        <f>IF($A122="","",IF($AA122&lt;=1,"SINGLE-SOURCE / LOW CONFIDENCE",""))</f>
        <v/>
      </c>
      <c r="AC122">
        <f>IF($A122="","",IF(AND($C122="FBS-RECLASSIFYING",ISNUMBER($L122),$L122&lt;0),"NO-AUTO-UPGRADE GUARD APPLIED",""))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MAP'!$D123)</f>
        <v/>
      </c>
      <c r="D123" t="n">
        <v>-18.2</v>
      </c>
      <c r="E123" s="1" t="n">
        <v>46108</v>
      </c>
      <c r="F123" t="inlineStr">
        <is>
          <t>https://www.espn.com/college-football/story/_/id/48306284/2026-college-football-sp+-rankings-138-fbs-teams</t>
        </is>
      </c>
      <c r="G123">
        <f>IF($D123="","",$D123-AVERAGE($D$6:$D$143))</f>
        <v/>
      </c>
      <c r="H123" t="n">
        <v>-14.5</v>
      </c>
      <c r="I123" s="1" t="n">
        <v>46222</v>
      </c>
      <c r="J123" t="inlineStr">
        <is>
          <t>https://www.espn.com/college-football/fpi</t>
        </is>
      </c>
      <c r="K123">
        <f>IF($H123="","",$H123-AVERAGE($H$6:$H$143))</f>
        <v/>
      </c>
      <c r="M123">
        <f>IF($L123="","",IF($C123="FBS-RECLASSIFYING",IF($L123&lt;0,$L123,$L123*(1-SETTINGS!$B$16)),$L123*(1-SETTINGS!$B$15)))</f>
        <v/>
      </c>
      <c r="P123">
        <f>IF($M123="","",$M123-AVERAGE($M$6:$M$143))</f>
        <v/>
      </c>
      <c r="Q123" t="n">
        <v>-20.6</v>
      </c>
      <c r="R123" s="1" t="n">
        <v>46222</v>
      </c>
      <c r="S123" t="inlineStr">
        <is>
          <t>https://www.teamrankings.com/college-football/ranking/predictive-by-other</t>
        </is>
      </c>
      <c r="T123">
        <f>IF($Q123="","",$Q123-AVERAGE($Q$6:$Q$143))</f>
        <v/>
      </c>
      <c r="X123">
        <f>IF($U123="","",$U123-AVERAGE($U$6:$U$143))</f>
        <v/>
      </c>
      <c r="Y123">
        <f>IF($A123="","",SETTINGS!$B$28*ISNUMBER($G123)+SETTINGS!$B$29*ISNUMBER($K123)+SETTINGS!$B$30*ISNUMBER($P123)+SETTINGS!$B$31*ISNUMBER($T123)+SETTINGS!$B$32*ISNUMBER($X123))</f>
        <v/>
      </c>
      <c r="Z123">
        <f>IF($A123="","",IF($Y123=0,"",(SETTINGS!$B$28*IF(ISNUMBER($G123),$G123,0)+SETTINGS!$B$29*IF(ISNUMBER($K123),$K123,0)+SETTINGS!$B$30*IF(ISNUMBER($P123),$P123,0)+SETTINGS!$B$31*IF(ISNUMBER($T123),$T123,0)+SETTINGS!$B$32*IF(ISNUMBER($X123),$X123,0))/$Y123))</f>
        <v/>
      </c>
      <c r="AA123">
        <f>IF($A123="","",COUNT($D123,$H123,$L123,$Q123,$U123))</f>
        <v/>
      </c>
      <c r="AB123">
        <f>IF($A123="","",IF($AA123&lt;=1,"SINGLE-SOURCE / LOW CONFIDENCE",""))</f>
        <v/>
      </c>
      <c r="AC123">
        <f>IF($A123="","",IF(AND($C123="FBS-RECLASSIFYING",ISNUMBER($L123),$L123&lt;0),"NO-AUTO-UPGRADE GUARD APPLIED",""))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MAP'!$D124)</f>
        <v/>
      </c>
      <c r="D124" t="n">
        <v>-15.5</v>
      </c>
      <c r="E124" s="1" t="n">
        <v>46108</v>
      </c>
      <c r="F124" t="inlineStr">
        <is>
          <t>https://www.espn.com/college-football/story/_/id/48306284/2026-college-football-sp+-rankings-138-fbs-teams</t>
        </is>
      </c>
      <c r="G124">
        <f>IF($D124="","",$D124-AVERAGE($D$6:$D$143))</f>
        <v/>
      </c>
      <c r="H124" t="n">
        <v>-14.3</v>
      </c>
      <c r="I124" s="1" t="n">
        <v>46222</v>
      </c>
      <c r="J124" t="inlineStr">
        <is>
          <t>https://www.espn.com/college-football/fpi</t>
        </is>
      </c>
      <c r="K124">
        <f>IF($H124="","",$H124-AVERAGE($H$6:$H$143))</f>
        <v/>
      </c>
      <c r="M124">
        <f>IF($L124="","",IF($C124="FBS-RECLASSIFYING",IF($L124&lt;0,$L124,$L124*(1-SETTINGS!$B$16)),$L124*(1-SETTINGS!$B$15)))</f>
        <v/>
      </c>
      <c r="P124">
        <f>IF($M124="","",$M124-AVERAGE($M$6:$M$143))</f>
        <v/>
      </c>
      <c r="Q124" t="n">
        <v>-14.9</v>
      </c>
      <c r="R124" s="1" t="n">
        <v>46222</v>
      </c>
      <c r="S124" t="inlineStr">
        <is>
          <t>https://www.teamrankings.com/college-football/ranking/predictive-by-other</t>
        </is>
      </c>
      <c r="T124">
        <f>IF($Q124="","",$Q124-AVERAGE($Q$6:$Q$143))</f>
        <v/>
      </c>
      <c r="X124">
        <f>IF($U124="","",$U124-AVERAGE($U$6:$U$143))</f>
        <v/>
      </c>
      <c r="Y124">
        <f>IF($A124="","",SETTINGS!$B$28*ISNUMBER($G124)+SETTINGS!$B$29*ISNUMBER($K124)+SETTINGS!$B$30*ISNUMBER($P124)+SETTINGS!$B$31*ISNUMBER($T124)+SETTINGS!$B$32*ISNUMBER($X124))</f>
        <v/>
      </c>
      <c r="Z124">
        <f>IF($A124="","",IF($Y124=0,"",(SETTINGS!$B$28*IF(ISNUMBER($G124),$G124,0)+SETTINGS!$B$29*IF(ISNUMBER($K124),$K124,0)+SETTINGS!$B$30*IF(ISNUMBER($P124),$P124,0)+SETTINGS!$B$31*IF(ISNUMBER($T124),$T124,0)+SETTINGS!$B$32*IF(ISNUMBER($X124),$X124,0))/$Y124))</f>
        <v/>
      </c>
      <c r="AA124">
        <f>IF($A124="","",COUNT($D124,$H124,$L124,$Q124,$U124))</f>
        <v/>
      </c>
      <c r="AB124">
        <f>IF($A124="","",IF($AA124&lt;=1,"SINGLE-SOURCE / LOW CONFIDENCE",""))</f>
        <v/>
      </c>
      <c r="AC124">
        <f>IF($A124="","",IF(AND($C124="FBS-RECLASSIFYING",ISNUMBER($L124),$L124&lt;0),"NO-AUTO-UPGRADE GUARD APPLIED",""))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MAP'!$D125)</f>
        <v/>
      </c>
      <c r="D125" t="n">
        <v>2.8</v>
      </c>
      <c r="E125" s="1" t="n">
        <v>46108</v>
      </c>
      <c r="F125" t="inlineStr">
        <is>
          <t>https://www.espn.com/college-football/story/_/id/48306284/2026-college-football-sp+-rankings-138-fbs-teams</t>
        </is>
      </c>
      <c r="G125">
        <f>IF($D125="","",$D125-AVERAGE($D$6:$D$143))</f>
        <v/>
      </c>
      <c r="H125" t="n">
        <v>1.8</v>
      </c>
      <c r="I125" s="1" t="n">
        <v>46222</v>
      </c>
      <c r="J125" t="inlineStr">
        <is>
          <t>https://www.espn.com/college-football/fpi</t>
        </is>
      </c>
      <c r="K125">
        <f>IF($H125="","",$H125-AVERAGE($H$6:$H$143))</f>
        <v/>
      </c>
      <c r="M125">
        <f>IF($L125="","",IF($C125="FBS-RECLASSIFYING",IF($L125&lt;0,$L125,$L125*(1-SETTINGS!$B$16)),$L125*(1-SETTINGS!$B$15)))</f>
        <v/>
      </c>
      <c r="P125">
        <f>IF($M125="","",$M125-AVERAGE($M$6:$M$143))</f>
        <v/>
      </c>
      <c r="Q125" t="n">
        <v>-0.8</v>
      </c>
      <c r="R125" s="1" t="n">
        <v>46222</v>
      </c>
      <c r="S125" t="inlineStr">
        <is>
          <t>https://www.teamrankings.com/college-football/ranking/predictive-by-other</t>
        </is>
      </c>
      <c r="T125">
        <f>IF($Q125="","",$Q125-AVERAGE($Q$6:$Q$143))</f>
        <v/>
      </c>
      <c r="X125">
        <f>IF($U125="","",$U125-AVERAGE($U$6:$U$143))</f>
        <v/>
      </c>
      <c r="Y125">
        <f>IF($A125="","",SETTINGS!$B$28*ISNUMBER($G125)+SETTINGS!$B$29*ISNUMBER($K125)+SETTINGS!$B$30*ISNUMBER($P125)+SETTINGS!$B$31*ISNUMBER($T125)+SETTINGS!$B$32*ISNUMBER($X125))</f>
        <v/>
      </c>
      <c r="Z125">
        <f>IF($A125="","",IF($Y125=0,"",(SETTINGS!$B$28*IF(ISNUMBER($G125),$G125,0)+SETTINGS!$B$29*IF(ISNUMBER($K125),$K125,0)+SETTINGS!$B$30*IF(ISNUMBER($P125),$P125,0)+SETTINGS!$B$31*IF(ISNUMBER($T125),$T125,0)+SETTINGS!$B$32*IF(ISNUMBER($X125),$X125,0))/$Y125))</f>
        <v/>
      </c>
      <c r="AA125">
        <f>IF($A125="","",COUNT($D125,$H125,$L125,$Q125,$U125))</f>
        <v/>
      </c>
      <c r="AB125">
        <f>IF($A125="","",IF($AA125&lt;=1,"SINGLE-SOURCE / LOW CONFIDENCE",""))</f>
        <v/>
      </c>
      <c r="AC125">
        <f>IF($A125="","",IF(AND($C125="FBS-RECLASSIFYING",ISNUMBER($L125),$L125&lt;0),"NO-AUTO-UPGRADE GUARD APPLIED",""))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MAP'!$D126)</f>
        <v/>
      </c>
      <c r="D126" t="n">
        <v>-20.5</v>
      </c>
      <c r="E126" s="1" t="n">
        <v>46108</v>
      </c>
      <c r="F126" t="inlineStr">
        <is>
          <t>https://www.espn.com/college-football/story/_/id/48306284/2026-college-football-sp+-rankings-138-fbs-teams</t>
        </is>
      </c>
      <c r="G126">
        <f>IF($D126="","",$D126-AVERAGE($D$6:$D$143))</f>
        <v/>
      </c>
      <c r="H126" t="n">
        <v>-16.6</v>
      </c>
      <c r="I126" s="1" t="n">
        <v>46222</v>
      </c>
      <c r="J126" t="inlineStr">
        <is>
          <t>https://www.espn.com/college-football/fpi</t>
        </is>
      </c>
      <c r="K126">
        <f>IF($H126="","",$H126-AVERAGE($H$6:$H$143))</f>
        <v/>
      </c>
      <c r="M126">
        <f>IF($L126="","",IF($C126="FBS-RECLASSIFYING",IF($L126&lt;0,$L126,$L126*(1-SETTINGS!$B$16)),$L126*(1-SETTINGS!$B$15)))</f>
        <v/>
      </c>
      <c r="P126">
        <f>IF($M126="","",$M126-AVERAGE($M$6:$M$143))</f>
        <v/>
      </c>
      <c r="Q126" t="n">
        <v>-21</v>
      </c>
      <c r="R126" s="1" t="n">
        <v>46222</v>
      </c>
      <c r="S126" t="inlineStr">
        <is>
          <t>https://www.teamrankings.com/college-football/ranking/predictive-by-other</t>
        </is>
      </c>
      <c r="T126">
        <f>IF($Q126="","",$Q126-AVERAGE($Q$6:$Q$143))</f>
        <v/>
      </c>
      <c r="X126">
        <f>IF($U126="","",$U126-AVERAGE($U$6:$U$143))</f>
        <v/>
      </c>
      <c r="Y126">
        <f>IF($A126="","",SETTINGS!$B$28*ISNUMBER($G126)+SETTINGS!$B$29*ISNUMBER($K126)+SETTINGS!$B$30*ISNUMBER($P126)+SETTINGS!$B$31*ISNUMBER($T126)+SETTINGS!$B$32*ISNUMBER($X126))</f>
        <v/>
      </c>
      <c r="Z126">
        <f>IF($A126="","",IF($Y126=0,"",(SETTINGS!$B$28*IF(ISNUMBER($G126),$G126,0)+SETTINGS!$B$29*IF(ISNUMBER($K126),$K126,0)+SETTINGS!$B$30*IF(ISNUMBER($P126),$P126,0)+SETTINGS!$B$31*IF(ISNUMBER($T126),$T126,0)+SETTINGS!$B$32*IF(ISNUMBER($X126),$X126,0))/$Y126))</f>
        <v/>
      </c>
      <c r="AA126">
        <f>IF($A126="","",COUNT($D126,$H126,$L126,$Q126,$U126))</f>
        <v/>
      </c>
      <c r="AB126">
        <f>IF($A126="","",IF($AA126&lt;=1,"SINGLE-SOURCE / LOW CONFIDENCE",""))</f>
        <v/>
      </c>
      <c r="AC126">
        <f>IF($A126="","",IF(AND($C126="FBS-RECLASSIFYING",ISNUMBER($L126),$L126&lt;0),"NO-AUTO-UPGRADE GUARD APPLIED",""))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MAP'!$D127)</f>
        <v/>
      </c>
      <c r="D127" t="n">
        <v>-9.6</v>
      </c>
      <c r="E127" s="1" t="n">
        <v>46108</v>
      </c>
      <c r="F127" t="inlineStr">
        <is>
          <t>https://www.espn.com/college-football/story/_/id/48306284/2026-college-football-sp+-rankings-138-fbs-teams</t>
        </is>
      </c>
      <c r="G127">
        <f>IF($D127="","",$D127-AVERAGE($D$6:$D$143))</f>
        <v/>
      </c>
      <c r="H127" t="n">
        <v>-13.1</v>
      </c>
      <c r="I127" s="1" t="n">
        <v>46222</v>
      </c>
      <c r="J127" t="inlineStr">
        <is>
          <t>https://www.espn.com/college-football/fpi</t>
        </is>
      </c>
      <c r="K127">
        <f>IF($H127="","",$H127-AVERAGE($H$6:$H$143))</f>
        <v/>
      </c>
      <c r="M127">
        <f>IF($L127="","",IF($C127="FBS-RECLASSIFYING",IF($L127&lt;0,$L127,$L127*(1-SETTINGS!$B$16)),$L127*(1-SETTINGS!$B$15)))</f>
        <v/>
      </c>
      <c r="P127">
        <f>IF($M127="","",$M127-AVERAGE($M$6:$M$143))</f>
        <v/>
      </c>
      <c r="Q127" t="n">
        <v>-13.3</v>
      </c>
      <c r="R127" s="1" t="n">
        <v>46222</v>
      </c>
      <c r="S127" t="inlineStr">
        <is>
          <t>https://www.teamrankings.com/college-football/ranking/predictive-by-other</t>
        </is>
      </c>
      <c r="T127">
        <f>IF($Q127="","",$Q127-AVERAGE($Q$6:$Q$143))</f>
        <v/>
      </c>
      <c r="X127">
        <f>IF($U127="","",$U127-AVERAGE($U$6:$U$143))</f>
        <v/>
      </c>
      <c r="Y127">
        <f>IF($A127="","",SETTINGS!$B$28*ISNUMBER($G127)+SETTINGS!$B$29*ISNUMBER($K127)+SETTINGS!$B$30*ISNUMBER($P127)+SETTINGS!$B$31*ISNUMBER($T127)+SETTINGS!$B$32*ISNUMBER($X127))</f>
        <v/>
      </c>
      <c r="Z127">
        <f>IF($A127="","",IF($Y127=0,"",(SETTINGS!$B$28*IF(ISNUMBER($G127),$G127,0)+SETTINGS!$B$29*IF(ISNUMBER($K127),$K127,0)+SETTINGS!$B$30*IF(ISNUMBER($P127),$P127,0)+SETTINGS!$B$31*IF(ISNUMBER($T127),$T127,0)+SETTINGS!$B$32*IF(ISNUMBER($X127),$X127,0))/$Y127))</f>
        <v/>
      </c>
      <c r="AA127">
        <f>IF($A127="","",COUNT($D127,$H127,$L127,$Q127,$U127))</f>
        <v/>
      </c>
      <c r="AB127">
        <f>IF($A127="","",IF($AA127&lt;=1,"SINGLE-SOURCE / LOW CONFIDENCE",""))</f>
        <v/>
      </c>
      <c r="AC127">
        <f>IF($A127="","",IF(AND($C127="FBS-RECLASSIFYING",ISNUMBER($L127),$L127&lt;0),"NO-AUTO-UPGRADE GUARD APPLIED",""))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MAP'!$D128)</f>
        <v/>
      </c>
      <c r="D128" t="n">
        <v>-12.1</v>
      </c>
      <c r="E128" s="1" t="n">
        <v>46108</v>
      </c>
      <c r="F128" t="inlineStr">
        <is>
          <t>https://www.espn.com/college-football/story/_/id/48306284/2026-college-football-sp+-rankings-138-fbs-teams</t>
        </is>
      </c>
      <c r="G128">
        <f>IF($D128="","",$D128-AVERAGE($D$6:$D$143))</f>
        <v/>
      </c>
      <c r="H128" t="n">
        <v>-9.800000000000001</v>
      </c>
      <c r="I128" s="1" t="n">
        <v>46222</v>
      </c>
      <c r="J128" t="inlineStr">
        <is>
          <t>https://www.espn.com/college-football/fpi</t>
        </is>
      </c>
      <c r="K128">
        <f>IF($H128="","",$H128-AVERAGE($H$6:$H$143))</f>
        <v/>
      </c>
      <c r="M128">
        <f>IF($L128="","",IF($C128="FBS-RECLASSIFYING",IF($L128&lt;0,$L128,$L128*(1-SETTINGS!$B$16)),$L128*(1-SETTINGS!$B$15)))</f>
        <v/>
      </c>
      <c r="P128">
        <f>IF($M128="","",$M128-AVERAGE($M$6:$M$143))</f>
        <v/>
      </c>
      <c r="Q128" t="n">
        <v>-10.9</v>
      </c>
      <c r="R128" s="1" t="n">
        <v>46222</v>
      </c>
      <c r="S128" t="inlineStr">
        <is>
          <t>https://www.teamrankings.com/college-football/ranking/predictive-by-other</t>
        </is>
      </c>
      <c r="T128">
        <f>IF($Q128="","",$Q128-AVERAGE($Q$6:$Q$143))</f>
        <v/>
      </c>
      <c r="X128">
        <f>IF($U128="","",$U128-AVERAGE($U$6:$U$143))</f>
        <v/>
      </c>
      <c r="Y128">
        <f>IF($A128="","",SETTINGS!$B$28*ISNUMBER($G128)+SETTINGS!$B$29*ISNUMBER($K128)+SETTINGS!$B$30*ISNUMBER($P128)+SETTINGS!$B$31*ISNUMBER($T128)+SETTINGS!$B$32*ISNUMBER($X128))</f>
        <v/>
      </c>
      <c r="Z128">
        <f>IF($A128="","",IF($Y128=0,"",(SETTINGS!$B$28*IF(ISNUMBER($G128),$G128,0)+SETTINGS!$B$29*IF(ISNUMBER($K128),$K128,0)+SETTINGS!$B$30*IF(ISNUMBER($P128),$P128,0)+SETTINGS!$B$31*IF(ISNUMBER($T128),$T128,0)+SETTINGS!$B$32*IF(ISNUMBER($X128),$X128,0))/$Y128))</f>
        <v/>
      </c>
      <c r="AA128">
        <f>IF($A128="","",COUNT($D128,$H128,$L128,$Q128,$U128))</f>
        <v/>
      </c>
      <c r="AB128">
        <f>IF($A128="","",IF($AA128&lt;=1,"SINGLE-SOURCE / LOW CONFIDENCE",""))</f>
        <v/>
      </c>
      <c r="AC128">
        <f>IF($A128="","",IF(AND($C128="FBS-RECLASSIFYING",ISNUMBER($L128),$L128&lt;0),"NO-AUTO-UPGRADE GUARD APPLIED",""))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MAP'!$D129)</f>
        <v/>
      </c>
      <c r="D129" t="n">
        <v>-8.5</v>
      </c>
      <c r="E129" s="1" t="n">
        <v>46108</v>
      </c>
      <c r="F129" t="inlineStr">
        <is>
          <t>https://www.espn.com/college-football/story/_/id/48306284/2026-college-football-sp+-rankings-138-fbs-teams</t>
        </is>
      </c>
      <c r="G129">
        <f>IF($D129="","",$D129-AVERAGE($D$6:$D$143))</f>
        <v/>
      </c>
      <c r="H129" t="n">
        <v>-9.199999999999999</v>
      </c>
      <c r="I129" s="1" t="n">
        <v>46222</v>
      </c>
      <c r="J129" t="inlineStr">
        <is>
          <t>https://www.espn.com/college-football/fpi</t>
        </is>
      </c>
      <c r="K129">
        <f>IF($H129="","",$H129-AVERAGE($H$6:$H$143))</f>
        <v/>
      </c>
      <c r="M129">
        <f>IF($L129="","",IF($C129="FBS-RECLASSIFYING",IF($L129&lt;0,$L129,$L129*(1-SETTINGS!$B$16)),$L129*(1-SETTINGS!$B$15)))</f>
        <v/>
      </c>
      <c r="P129">
        <f>IF($M129="","",$M129-AVERAGE($M$6:$M$143))</f>
        <v/>
      </c>
      <c r="Q129" t="n">
        <v>-11</v>
      </c>
      <c r="R129" s="1" t="n">
        <v>46222</v>
      </c>
      <c r="S129" t="inlineStr">
        <is>
          <t>https://www.teamrankings.com/college-football/ranking/predictive-by-other</t>
        </is>
      </c>
      <c r="T129">
        <f>IF($Q129="","",$Q129-AVERAGE($Q$6:$Q$143))</f>
        <v/>
      </c>
      <c r="X129">
        <f>IF($U129="","",$U129-AVERAGE($U$6:$U$143))</f>
        <v/>
      </c>
      <c r="Y129">
        <f>IF($A129="","",SETTINGS!$B$28*ISNUMBER($G129)+SETTINGS!$B$29*ISNUMBER($K129)+SETTINGS!$B$30*ISNUMBER($P129)+SETTINGS!$B$31*ISNUMBER($T129)+SETTINGS!$B$32*ISNUMBER($X129))</f>
        <v/>
      </c>
      <c r="Z129">
        <f>IF($A129="","",IF($Y129=0,"",(SETTINGS!$B$28*IF(ISNUMBER($G129),$G129,0)+SETTINGS!$B$29*IF(ISNUMBER($K129),$K129,0)+SETTINGS!$B$30*IF(ISNUMBER($P129),$P129,0)+SETTINGS!$B$31*IF(ISNUMBER($T129),$T129,0)+SETTINGS!$B$32*IF(ISNUMBER($X129),$X129,0))/$Y129))</f>
        <v/>
      </c>
      <c r="AA129">
        <f>IF($A129="","",COUNT($D129,$H129,$L129,$Q129,$U129))</f>
        <v/>
      </c>
      <c r="AB129">
        <f>IF($A129="","",IF($AA129&lt;=1,"SINGLE-SOURCE / LOW CONFIDENCE",""))</f>
        <v/>
      </c>
      <c r="AC129">
        <f>IF($A129="","",IF(AND($C129="FBS-RECLASSIFYING",ISNUMBER($L129),$L129&lt;0),"NO-AUTO-UPGRADE GUARD APPLIED",""))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MAP'!$D130)</f>
        <v/>
      </c>
      <c r="D130" t="n">
        <v>-13.8</v>
      </c>
      <c r="E130" s="1" t="n">
        <v>46108</v>
      </c>
      <c r="F130" t="inlineStr">
        <is>
          <t>https://www.espn.com/college-football/story/_/id/48306284/2026-college-football-sp+-rankings-138-fbs-teams</t>
        </is>
      </c>
      <c r="G130">
        <f>IF($D130="","",$D130-AVERAGE($D$6:$D$143))</f>
        <v/>
      </c>
      <c r="H130" t="n">
        <v>-12.1</v>
      </c>
      <c r="I130" s="1" t="n">
        <v>46222</v>
      </c>
      <c r="J130" t="inlineStr">
        <is>
          <t>https://www.espn.com/college-football/fpi</t>
        </is>
      </c>
      <c r="K130">
        <f>IF($H130="","",$H130-AVERAGE($H$6:$H$143))</f>
        <v/>
      </c>
      <c r="M130">
        <f>IF($L130="","",IF($C130="FBS-RECLASSIFYING",IF($L130&lt;0,$L130,$L130*(1-SETTINGS!$B$16)),$L130*(1-SETTINGS!$B$15)))</f>
        <v/>
      </c>
      <c r="P130">
        <f>IF($M130="","",$M130-AVERAGE($M$6:$M$143))</f>
        <v/>
      </c>
      <c r="Q130" t="n">
        <v>-13.8</v>
      </c>
      <c r="R130" s="1" t="n">
        <v>46222</v>
      </c>
      <c r="S130" t="inlineStr">
        <is>
          <t>https://www.teamrankings.com/college-football/ranking/predictive-by-other</t>
        </is>
      </c>
      <c r="T130">
        <f>IF($Q130="","",$Q130-AVERAGE($Q$6:$Q$143))</f>
        <v/>
      </c>
      <c r="X130">
        <f>IF($U130="","",$U130-AVERAGE($U$6:$U$143))</f>
        <v/>
      </c>
      <c r="Y130">
        <f>IF($A130="","",SETTINGS!$B$28*ISNUMBER($G130)+SETTINGS!$B$29*ISNUMBER($K130)+SETTINGS!$B$30*ISNUMBER($P130)+SETTINGS!$B$31*ISNUMBER($T130)+SETTINGS!$B$32*ISNUMBER($X130))</f>
        <v/>
      </c>
      <c r="Z130">
        <f>IF($A130="","",IF($Y130=0,"",(SETTINGS!$B$28*IF(ISNUMBER($G130),$G130,0)+SETTINGS!$B$29*IF(ISNUMBER($K130),$K130,0)+SETTINGS!$B$30*IF(ISNUMBER($P130),$P130,0)+SETTINGS!$B$31*IF(ISNUMBER($T130),$T130,0)+SETTINGS!$B$32*IF(ISNUMBER($X130),$X130,0))/$Y130))</f>
        <v/>
      </c>
      <c r="AA130">
        <f>IF($A130="","",COUNT($D130,$H130,$L130,$Q130,$U130))</f>
        <v/>
      </c>
      <c r="AB130">
        <f>IF($A130="","",IF($AA130&lt;=1,"SINGLE-SOURCE / LOW CONFIDENCE",""))</f>
        <v/>
      </c>
      <c r="AC130">
        <f>IF($A130="","",IF(AND($C130="FBS-RECLASSIFYING",ISNUMBER($L130),$L130&lt;0),"NO-AUTO-UPGRADE GUARD APPLIED",""))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MAP'!$D131)</f>
        <v/>
      </c>
      <c r="D131" t="n">
        <v>-8.9</v>
      </c>
      <c r="E131" s="1" t="n">
        <v>46108</v>
      </c>
      <c r="F131" t="inlineStr">
        <is>
          <t>https://www.espn.com/college-football/story/_/id/48306284/2026-college-football-sp+-rankings-138-fbs-teams</t>
        </is>
      </c>
      <c r="G131">
        <f>IF($D131="","",$D131-AVERAGE($D$6:$D$143))</f>
        <v/>
      </c>
      <c r="H131" t="n">
        <v>-8.699999999999999</v>
      </c>
      <c r="I131" s="1" t="n">
        <v>46222</v>
      </c>
      <c r="J131" t="inlineStr">
        <is>
          <t>https://www.espn.com/college-football/fpi</t>
        </is>
      </c>
      <c r="K131">
        <f>IF($H131="","",$H131-AVERAGE($H$6:$H$143))</f>
        <v/>
      </c>
      <c r="M131">
        <f>IF($L131="","",IF($C131="FBS-RECLASSIFYING",IF($L131&lt;0,$L131,$L131*(1-SETTINGS!$B$16)),$L131*(1-SETTINGS!$B$15)))</f>
        <v/>
      </c>
      <c r="P131">
        <f>IF($M131="","",$M131-AVERAGE($M$6:$M$143))</f>
        <v/>
      </c>
      <c r="Q131" t="n">
        <v>-11.7</v>
      </c>
      <c r="R131" s="1" t="n">
        <v>46222</v>
      </c>
      <c r="S131" t="inlineStr">
        <is>
          <t>https://www.teamrankings.com/college-football/ranking/predictive-by-other</t>
        </is>
      </c>
      <c r="T131">
        <f>IF($Q131="","",$Q131-AVERAGE($Q$6:$Q$143))</f>
        <v/>
      </c>
      <c r="X131">
        <f>IF($U131="","",$U131-AVERAGE($U$6:$U$143))</f>
        <v/>
      </c>
      <c r="Y131">
        <f>IF($A131="","",SETTINGS!$B$28*ISNUMBER($G131)+SETTINGS!$B$29*ISNUMBER($K131)+SETTINGS!$B$30*ISNUMBER($P131)+SETTINGS!$B$31*ISNUMBER($T131)+SETTINGS!$B$32*ISNUMBER($X131))</f>
        <v/>
      </c>
      <c r="Z131">
        <f>IF($A131="","",IF($Y131=0,"",(SETTINGS!$B$28*IF(ISNUMBER($G131),$G131,0)+SETTINGS!$B$29*IF(ISNUMBER($K131),$K131,0)+SETTINGS!$B$30*IF(ISNUMBER($P131),$P131,0)+SETTINGS!$B$31*IF(ISNUMBER($T131),$T131,0)+SETTINGS!$B$32*IF(ISNUMBER($X131),$X131,0))/$Y131))</f>
        <v/>
      </c>
      <c r="AA131">
        <f>IF($A131="","",COUNT($D131,$H131,$L131,$Q131,$U131))</f>
        <v/>
      </c>
      <c r="AB131">
        <f>IF($A131="","",IF($AA131&lt;=1,"SINGLE-SOURCE / LOW CONFIDENCE",""))</f>
        <v/>
      </c>
      <c r="AC131">
        <f>IF($A131="","",IF(AND($C131="FBS-RECLASSIFYING",ISNUMBER($L131),$L131&lt;0),"NO-AUTO-UPGRADE GUARD APPLIED",""))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MAP'!$D132)</f>
        <v/>
      </c>
      <c r="D132" t="n">
        <v>-25.1</v>
      </c>
      <c r="E132" s="1" t="n">
        <v>46108</v>
      </c>
      <c r="F132" t="inlineStr">
        <is>
          <t>https://www.espn.com/college-football/story/_/id/48306284/2026-college-football-sp+-rankings-138-fbs-teams</t>
        </is>
      </c>
      <c r="G132">
        <f>IF($D132="","",$D132-AVERAGE($D$6:$D$143))</f>
        <v/>
      </c>
      <c r="H132" t="n">
        <v>-15.2</v>
      </c>
      <c r="I132" s="1" t="n">
        <v>46222</v>
      </c>
      <c r="J132" t="inlineStr">
        <is>
          <t>https://www.espn.com/college-football/fpi</t>
        </is>
      </c>
      <c r="K132">
        <f>IF($H132="","",$H132-AVERAGE($H$6:$H$143))</f>
        <v/>
      </c>
      <c r="M132">
        <f>IF($L132="","",IF($C132="FBS-RECLASSIFYING",IF($L132&lt;0,$L132,$L132*(1-SETTINGS!$B$16)),$L132*(1-SETTINGS!$B$15)))</f>
        <v/>
      </c>
      <c r="P132">
        <f>IF($M132="","",$M132-AVERAGE($M$6:$M$143))</f>
        <v/>
      </c>
      <c r="Q132" t="n">
        <v>-19.4</v>
      </c>
      <c r="R132" s="1" t="n">
        <v>46222</v>
      </c>
      <c r="S132" t="inlineStr">
        <is>
          <t>https://www.teamrankings.com/college-football/ranking/predictive-by-other</t>
        </is>
      </c>
      <c r="T132">
        <f>IF($Q132="","",$Q132-AVERAGE($Q$6:$Q$143))</f>
        <v/>
      </c>
      <c r="X132">
        <f>IF($U132="","",$U132-AVERAGE($U$6:$U$143))</f>
        <v/>
      </c>
      <c r="Y132">
        <f>IF($A132="","",SETTINGS!$B$28*ISNUMBER($G132)+SETTINGS!$B$29*ISNUMBER($K132)+SETTINGS!$B$30*ISNUMBER($P132)+SETTINGS!$B$31*ISNUMBER($T132)+SETTINGS!$B$32*ISNUMBER($X132))</f>
        <v/>
      </c>
      <c r="Z132">
        <f>IF($A132="","",IF($Y132=0,"",(SETTINGS!$B$28*IF(ISNUMBER($G132),$G132,0)+SETTINGS!$B$29*IF(ISNUMBER($K132),$K132,0)+SETTINGS!$B$30*IF(ISNUMBER($P132),$P132,0)+SETTINGS!$B$31*IF(ISNUMBER($T132),$T132,0)+SETTINGS!$B$32*IF(ISNUMBER($X132),$X132,0))/$Y132))</f>
        <v/>
      </c>
      <c r="AA132">
        <f>IF($A132="","",COUNT($D132,$H132,$L132,$Q132,$U132))</f>
        <v/>
      </c>
      <c r="AB132">
        <f>IF($A132="","",IF($AA132&lt;=1,"SINGLE-SOURCE / LOW CONFIDENCE",""))</f>
        <v/>
      </c>
      <c r="AC132">
        <f>IF($A132="","",IF(AND($C132="FBS-RECLASSIFYING",ISNUMBER($L132),$L132&lt;0),"NO-AUTO-UPGRADE GUARD APPLIED",""))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MAP'!$D133)</f>
        <v/>
      </c>
      <c r="D133" t="n">
        <v>-2.1</v>
      </c>
      <c r="E133" s="1" t="n">
        <v>46108</v>
      </c>
      <c r="F133" t="inlineStr">
        <is>
          <t>https://www.espn.com/college-football/story/_/id/48306284/2026-college-football-sp+-rankings-138-fbs-teams</t>
        </is>
      </c>
      <c r="G133">
        <f>IF($D133="","",$D133-AVERAGE($D$6:$D$143))</f>
        <v/>
      </c>
      <c r="H133" t="n">
        <v>-2</v>
      </c>
      <c r="I133" s="1" t="n">
        <v>46222</v>
      </c>
      <c r="J133" t="inlineStr">
        <is>
          <t>https://www.espn.com/college-football/fpi</t>
        </is>
      </c>
      <c r="K133">
        <f>IF($H133="","",$H133-AVERAGE($H$6:$H$143))</f>
        <v/>
      </c>
      <c r="M133">
        <f>IF($L133="","",IF($C133="FBS-RECLASSIFYING",IF($L133&lt;0,$L133,$L133*(1-SETTINGS!$B$16)),$L133*(1-SETTINGS!$B$15)))</f>
        <v/>
      </c>
      <c r="P133">
        <f>IF($M133="","",$M133-AVERAGE($M$6:$M$143))</f>
        <v/>
      </c>
      <c r="Q133" t="n">
        <v>-1.5</v>
      </c>
      <c r="R133" s="1" t="n">
        <v>46222</v>
      </c>
      <c r="S133" t="inlineStr">
        <is>
          <t>https://www.teamrankings.com/college-football/ranking/predictive-by-other</t>
        </is>
      </c>
      <c r="T133">
        <f>IF($Q133="","",$Q133-AVERAGE($Q$6:$Q$143))</f>
        <v/>
      </c>
      <c r="X133">
        <f>IF($U133="","",$U133-AVERAGE($U$6:$U$143))</f>
        <v/>
      </c>
      <c r="Y133">
        <f>IF($A133="","",SETTINGS!$B$28*ISNUMBER($G133)+SETTINGS!$B$29*ISNUMBER($K133)+SETTINGS!$B$30*ISNUMBER($P133)+SETTINGS!$B$31*ISNUMBER($T133)+SETTINGS!$B$32*ISNUMBER($X133))</f>
        <v/>
      </c>
      <c r="Z133">
        <f>IF($A133="","",IF($Y133=0,"",(SETTINGS!$B$28*IF(ISNUMBER($G133),$G133,0)+SETTINGS!$B$29*IF(ISNUMBER($K133),$K133,0)+SETTINGS!$B$30*IF(ISNUMBER($P133),$P133,0)+SETTINGS!$B$31*IF(ISNUMBER($T133),$T133,0)+SETTINGS!$B$32*IF(ISNUMBER($X133),$X133,0))/$Y133))</f>
        <v/>
      </c>
      <c r="AA133">
        <f>IF($A133="","",COUNT($D133,$H133,$L133,$Q133,$U133))</f>
        <v/>
      </c>
      <c r="AB133">
        <f>IF($A133="","",IF($AA133&lt;=1,"SINGLE-SOURCE / LOW CONFIDENCE",""))</f>
        <v/>
      </c>
      <c r="AC133">
        <f>IF($A133="","",IF(AND($C133="FBS-RECLASSIFYING",ISNUMBER($L133),$L133&lt;0),"NO-AUTO-UPGRADE GUARD APPLIED",""))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MAP'!$D134)</f>
        <v/>
      </c>
      <c r="D134" t="n">
        <v>-9.1</v>
      </c>
      <c r="E134" s="1" t="n">
        <v>46108</v>
      </c>
      <c r="F134" t="inlineStr">
        <is>
          <t>https://www.espn.com/college-football/story/_/id/48306284/2026-college-football-sp+-rankings-138-fbs-teams</t>
        </is>
      </c>
      <c r="G134">
        <f>IF($D134="","",$D134-AVERAGE($D$6:$D$143))</f>
        <v/>
      </c>
      <c r="H134" t="n">
        <v>-8.300000000000001</v>
      </c>
      <c r="I134" s="1" t="n">
        <v>46222</v>
      </c>
      <c r="J134" t="inlineStr">
        <is>
          <t>https://www.espn.com/college-football/fpi</t>
        </is>
      </c>
      <c r="K134">
        <f>IF($H134="","",$H134-AVERAGE($H$6:$H$143))</f>
        <v/>
      </c>
      <c r="M134">
        <f>IF($L134="","",IF($C134="FBS-RECLASSIFYING",IF($L134&lt;0,$L134,$L134*(1-SETTINGS!$B$16)),$L134*(1-SETTINGS!$B$15)))</f>
        <v/>
      </c>
      <c r="P134">
        <f>IF($M134="","",$M134-AVERAGE($M$6:$M$143))</f>
        <v/>
      </c>
      <c r="Q134" t="n">
        <v>-10.3</v>
      </c>
      <c r="R134" s="1" t="n">
        <v>46222</v>
      </c>
      <c r="S134" t="inlineStr">
        <is>
          <t>https://www.teamrankings.com/college-football/ranking/predictive-by-other</t>
        </is>
      </c>
      <c r="T134">
        <f>IF($Q134="","",$Q134-AVERAGE($Q$6:$Q$143))</f>
        <v/>
      </c>
      <c r="X134">
        <f>IF($U134="","",$U134-AVERAGE($U$6:$U$143))</f>
        <v/>
      </c>
      <c r="Y134">
        <f>IF($A134="","",SETTINGS!$B$28*ISNUMBER($G134)+SETTINGS!$B$29*ISNUMBER($K134)+SETTINGS!$B$30*ISNUMBER($P134)+SETTINGS!$B$31*ISNUMBER($T134)+SETTINGS!$B$32*ISNUMBER($X134))</f>
        <v/>
      </c>
      <c r="Z134">
        <f>IF($A134="","",IF($Y134=0,"",(SETTINGS!$B$28*IF(ISNUMBER($G134),$G134,0)+SETTINGS!$B$29*IF(ISNUMBER($K134),$K134,0)+SETTINGS!$B$30*IF(ISNUMBER($P134),$P134,0)+SETTINGS!$B$31*IF(ISNUMBER($T134),$T134,0)+SETTINGS!$B$32*IF(ISNUMBER($X134),$X134,0))/$Y134))</f>
        <v/>
      </c>
      <c r="AA134">
        <f>IF($A134="","",COUNT($D134,$H134,$L134,$Q134,$U134))</f>
        <v/>
      </c>
      <c r="AB134">
        <f>IF($A134="","",IF($AA134&lt;=1,"SINGLE-SOURCE / LOW CONFIDENCE",""))</f>
        <v/>
      </c>
      <c r="AC134">
        <f>IF($A134="","",IF(AND($C134="FBS-RECLASSIFYING",ISNUMBER($L134),$L134&lt;0),"NO-AUTO-UPGRADE GUARD APPLIED",""))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MAP'!$D135)</f>
        <v/>
      </c>
      <c r="D135" t="n">
        <v>-8.300000000000001</v>
      </c>
      <c r="E135" s="1" t="n">
        <v>46108</v>
      </c>
      <c r="F135" t="inlineStr">
        <is>
          <t>https://www.espn.com/college-football/story/_/id/48306284/2026-college-football-sp+-rankings-138-fbs-teams</t>
        </is>
      </c>
      <c r="G135">
        <f>IF($D135="","",$D135-AVERAGE($D$6:$D$143))</f>
        <v/>
      </c>
      <c r="H135" t="n">
        <v>-9.6</v>
      </c>
      <c r="I135" s="1" t="n">
        <v>46222</v>
      </c>
      <c r="J135" t="inlineStr">
        <is>
          <t>https://www.espn.com/college-football/fpi</t>
        </is>
      </c>
      <c r="K135">
        <f>IF($H135="","",$H135-AVERAGE($H$6:$H$143))</f>
        <v/>
      </c>
      <c r="M135">
        <f>IF($L135="","",IF($C135="FBS-RECLASSIFYING",IF($L135&lt;0,$L135,$L135*(1-SETTINGS!$B$16)),$L135*(1-SETTINGS!$B$15)))</f>
        <v/>
      </c>
      <c r="P135">
        <f>IF($M135="","",$M135-AVERAGE($M$6:$M$143))</f>
        <v/>
      </c>
      <c r="Q135" t="n">
        <v>-8.6</v>
      </c>
      <c r="R135" s="1" t="n">
        <v>46222</v>
      </c>
      <c r="S135" t="inlineStr">
        <is>
          <t>https://www.teamrankings.com/college-football/ranking/predictive-by-other</t>
        </is>
      </c>
      <c r="T135">
        <f>IF($Q135="","",$Q135-AVERAGE($Q$6:$Q$143))</f>
        <v/>
      </c>
      <c r="X135">
        <f>IF($U135="","",$U135-AVERAGE($U$6:$U$143))</f>
        <v/>
      </c>
      <c r="Y135">
        <f>IF($A135="","",SETTINGS!$B$28*ISNUMBER($G135)+SETTINGS!$B$29*ISNUMBER($K135)+SETTINGS!$B$30*ISNUMBER($P135)+SETTINGS!$B$31*ISNUMBER($T135)+SETTINGS!$B$32*ISNUMBER($X135))</f>
        <v/>
      </c>
      <c r="Z135">
        <f>IF($A135="","",IF($Y135=0,"",(SETTINGS!$B$28*IF(ISNUMBER($G135),$G135,0)+SETTINGS!$B$29*IF(ISNUMBER($K135),$K135,0)+SETTINGS!$B$30*IF(ISNUMBER($P135),$P135,0)+SETTINGS!$B$31*IF(ISNUMBER($T135),$T135,0)+SETTINGS!$B$32*IF(ISNUMBER($X135),$X135,0))/$Y135))</f>
        <v/>
      </c>
      <c r="AA135">
        <f>IF($A135="","",COUNT($D135,$H135,$L135,$Q135,$U135))</f>
        <v/>
      </c>
      <c r="AB135">
        <f>IF($A135="","",IF($AA135&lt;=1,"SINGLE-SOURCE / LOW CONFIDENCE",""))</f>
        <v/>
      </c>
      <c r="AC135">
        <f>IF($A135="","",IF(AND($C135="FBS-RECLASSIFYING",ISNUMBER($L135),$L135&lt;0),"NO-AUTO-UPGRADE GUARD APPLIED",""))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MAP'!$D136)</f>
        <v/>
      </c>
      <c r="D136" t="n">
        <v>-6.4</v>
      </c>
      <c r="E136" s="1" t="n">
        <v>46108</v>
      </c>
      <c r="F136" t="inlineStr">
        <is>
          <t>https://www.espn.com/college-football/story/_/id/48306284/2026-college-football-sp+-rankings-138-fbs-teams</t>
        </is>
      </c>
      <c r="G136">
        <f>IF($D136="","",$D136-AVERAGE($D$6:$D$143))</f>
        <v/>
      </c>
      <c r="H136" t="n">
        <v>-8.800000000000001</v>
      </c>
      <c r="I136" s="1" t="n">
        <v>46222</v>
      </c>
      <c r="J136" t="inlineStr">
        <is>
          <t>https://www.espn.com/college-football/fpi</t>
        </is>
      </c>
      <c r="K136">
        <f>IF($H136="","",$H136-AVERAGE($H$6:$H$143))</f>
        <v/>
      </c>
      <c r="M136">
        <f>IF($L136="","",IF($C136="FBS-RECLASSIFYING",IF($L136&lt;0,$L136,$L136*(1-SETTINGS!$B$16)),$L136*(1-SETTINGS!$B$15)))</f>
        <v/>
      </c>
      <c r="P136">
        <f>IF($M136="","",$M136-AVERAGE($M$6:$M$143))</f>
        <v/>
      </c>
      <c r="Q136" t="n">
        <v>-8.800000000000001</v>
      </c>
      <c r="R136" s="1" t="n">
        <v>46222</v>
      </c>
      <c r="S136" t="inlineStr">
        <is>
          <t>https://www.teamrankings.com/college-football/ranking/predictive-by-other</t>
        </is>
      </c>
      <c r="T136">
        <f>IF($Q136="","",$Q136-AVERAGE($Q$6:$Q$143))</f>
        <v/>
      </c>
      <c r="X136">
        <f>IF($U136="","",$U136-AVERAGE($U$6:$U$143))</f>
        <v/>
      </c>
      <c r="Y136">
        <f>IF($A136="","",SETTINGS!$B$28*ISNUMBER($G136)+SETTINGS!$B$29*ISNUMBER($K136)+SETTINGS!$B$30*ISNUMBER($P136)+SETTINGS!$B$31*ISNUMBER($T136)+SETTINGS!$B$32*ISNUMBER($X136))</f>
        <v/>
      </c>
      <c r="Z136">
        <f>IF($A136="","",IF($Y136=0,"",(SETTINGS!$B$28*IF(ISNUMBER($G136),$G136,0)+SETTINGS!$B$29*IF(ISNUMBER($K136),$K136,0)+SETTINGS!$B$30*IF(ISNUMBER($P136),$P136,0)+SETTINGS!$B$31*IF(ISNUMBER($T136),$T136,0)+SETTINGS!$B$32*IF(ISNUMBER($X136),$X136,0))/$Y136))</f>
        <v/>
      </c>
      <c r="AA136">
        <f>IF($A136="","",COUNT($D136,$H136,$L136,$Q136,$U136))</f>
        <v/>
      </c>
      <c r="AB136">
        <f>IF($A136="","",IF($AA136&lt;=1,"SINGLE-SOURCE / LOW CONFIDENCE",""))</f>
        <v/>
      </c>
      <c r="AC136">
        <f>IF($A136="","",IF(AND($C136="FBS-RECLASSIFYING",ISNUMBER($L136),$L136&lt;0),"NO-AUTO-UPGRADE GUARD APPLIED",""))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MAP'!$D137)</f>
        <v/>
      </c>
      <c r="D137" t="n">
        <v>-5.8</v>
      </c>
      <c r="E137" s="1" t="n">
        <v>46108</v>
      </c>
      <c r="F137" t="inlineStr">
        <is>
          <t>https://www.espn.com/college-football/story/_/id/48306284/2026-college-football-sp+-rankings-138-fbs-teams</t>
        </is>
      </c>
      <c r="G137">
        <f>IF($D137="","",$D137-AVERAGE($D$6:$D$143))</f>
        <v/>
      </c>
      <c r="H137" t="n">
        <v>-4.4</v>
      </c>
      <c r="I137" s="1" t="n">
        <v>46222</v>
      </c>
      <c r="J137" t="inlineStr">
        <is>
          <t>https://www.espn.com/college-football/fpi</t>
        </is>
      </c>
      <c r="K137">
        <f>IF($H137="","",$H137-AVERAGE($H$6:$H$143))</f>
        <v/>
      </c>
      <c r="M137">
        <f>IF($L137="","",IF($C137="FBS-RECLASSIFYING",IF($L137&lt;0,$L137,$L137*(1-SETTINGS!$B$16)),$L137*(1-SETTINGS!$B$15)))</f>
        <v/>
      </c>
      <c r="P137">
        <f>IF($M137="","",$M137-AVERAGE($M$6:$M$143))</f>
        <v/>
      </c>
      <c r="Q137" t="n">
        <v>-4.6</v>
      </c>
      <c r="R137" s="1" t="n">
        <v>46222</v>
      </c>
      <c r="S137" t="inlineStr">
        <is>
          <t>https://www.teamrankings.com/college-football/ranking/predictive-by-other</t>
        </is>
      </c>
      <c r="T137">
        <f>IF($Q137="","",$Q137-AVERAGE($Q$6:$Q$143))</f>
        <v/>
      </c>
      <c r="X137">
        <f>IF($U137="","",$U137-AVERAGE($U$6:$U$143))</f>
        <v/>
      </c>
      <c r="Y137">
        <f>IF($A137="","",SETTINGS!$B$28*ISNUMBER($G137)+SETTINGS!$B$29*ISNUMBER($K137)+SETTINGS!$B$30*ISNUMBER($P137)+SETTINGS!$B$31*ISNUMBER($T137)+SETTINGS!$B$32*ISNUMBER($X137))</f>
        <v/>
      </c>
      <c r="Z137">
        <f>IF($A137="","",IF($Y137=0,"",(SETTINGS!$B$28*IF(ISNUMBER($G137),$G137,0)+SETTINGS!$B$29*IF(ISNUMBER($K137),$K137,0)+SETTINGS!$B$30*IF(ISNUMBER($P137),$P137,0)+SETTINGS!$B$31*IF(ISNUMBER($T137),$T137,0)+SETTINGS!$B$32*IF(ISNUMBER($X137),$X137,0))/$Y137))</f>
        <v/>
      </c>
      <c r="AA137">
        <f>IF($A137="","",COUNT($D137,$H137,$L137,$Q137,$U137))</f>
        <v/>
      </c>
      <c r="AB137">
        <f>IF($A137="","",IF($AA137&lt;=1,"SINGLE-SOURCE / LOW CONFIDENCE",""))</f>
        <v/>
      </c>
      <c r="AC137">
        <f>IF($A137="","",IF(AND($C137="FBS-RECLASSIFYING",ISNUMBER($L137),$L137&lt;0),"NO-AUTO-UPGRADE GUARD APPLIED",""))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MAP'!$D138)</f>
        <v/>
      </c>
      <c r="D138" t="n">
        <v>-13.3</v>
      </c>
      <c r="E138" s="1" t="n">
        <v>46108</v>
      </c>
      <c r="F138" t="inlineStr">
        <is>
          <t>https://www.espn.com/college-football/story/_/id/48306284/2026-college-football-sp+-rankings-138-fbs-teams</t>
        </is>
      </c>
      <c r="G138">
        <f>IF($D138="","",$D138-AVERAGE($D$6:$D$143))</f>
        <v/>
      </c>
      <c r="H138" t="n">
        <v>-10.5</v>
      </c>
      <c r="I138" s="1" t="n">
        <v>46222</v>
      </c>
      <c r="J138" t="inlineStr">
        <is>
          <t>https://www.espn.com/college-football/fpi</t>
        </is>
      </c>
      <c r="K138">
        <f>IF($H138="","",$H138-AVERAGE($H$6:$H$143))</f>
        <v/>
      </c>
      <c r="M138">
        <f>IF($L138="","",IF($C138="FBS-RECLASSIFYING",IF($L138&lt;0,$L138,$L138*(1-SETTINGS!$B$16)),$L138*(1-SETTINGS!$B$15)))</f>
        <v/>
      </c>
      <c r="P138">
        <f>IF($M138="","",$M138-AVERAGE($M$6:$M$143))</f>
        <v/>
      </c>
      <c r="Q138" t="n">
        <v>-10.8</v>
      </c>
      <c r="R138" s="1" t="n">
        <v>46222</v>
      </c>
      <c r="S138" t="inlineStr">
        <is>
          <t>https://www.teamrankings.com/college-football/ranking/predictive-by-other</t>
        </is>
      </c>
      <c r="T138">
        <f>IF($Q138="","",$Q138-AVERAGE($Q$6:$Q$143))</f>
        <v/>
      </c>
      <c r="X138">
        <f>IF($U138="","",$U138-AVERAGE($U$6:$U$143))</f>
        <v/>
      </c>
      <c r="Y138">
        <f>IF($A138="","",SETTINGS!$B$28*ISNUMBER($G138)+SETTINGS!$B$29*ISNUMBER($K138)+SETTINGS!$B$30*ISNUMBER($P138)+SETTINGS!$B$31*ISNUMBER($T138)+SETTINGS!$B$32*ISNUMBER($X138))</f>
        <v/>
      </c>
      <c r="Z138">
        <f>IF($A138="","",IF($Y138=0,"",(SETTINGS!$B$28*IF(ISNUMBER($G138),$G138,0)+SETTINGS!$B$29*IF(ISNUMBER($K138),$K138,0)+SETTINGS!$B$30*IF(ISNUMBER($P138),$P138,0)+SETTINGS!$B$31*IF(ISNUMBER($T138),$T138,0)+SETTINGS!$B$32*IF(ISNUMBER($X138),$X138,0))/$Y138))</f>
        <v/>
      </c>
      <c r="AA138">
        <f>IF($A138="","",COUNT($D138,$H138,$L138,$Q138,$U138))</f>
        <v/>
      </c>
      <c r="AB138">
        <f>IF($A138="","",IF($AA138&lt;=1,"SINGLE-SOURCE / LOW CONFIDENCE",""))</f>
        <v/>
      </c>
      <c r="AC138">
        <f>IF($A138="","",IF(AND($C138="FBS-RECLASSIFYING",ISNUMBER($L138),$L138&lt;0),"NO-AUTO-UPGRADE GUARD APPLIED",""))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MAP'!$D139)</f>
        <v/>
      </c>
      <c r="D139" t="n">
        <v>-23.3</v>
      </c>
      <c r="E139" s="1" t="n">
        <v>46108</v>
      </c>
      <c r="F139" t="inlineStr">
        <is>
          <t>https://www.espn.com/college-football/story/_/id/48306284/2026-college-football-sp+-rankings-138-fbs-teams</t>
        </is>
      </c>
      <c r="G139">
        <f>IF($D139="","",$D139-AVERAGE($D$6:$D$143))</f>
        <v/>
      </c>
      <c r="H139" t="n">
        <v>-5.1</v>
      </c>
      <c r="I139" s="1" t="n">
        <v>46222</v>
      </c>
      <c r="J139" t="inlineStr">
        <is>
          <t>https://www.espn.com/college-football/fpi</t>
        </is>
      </c>
      <c r="K139">
        <f>IF($H139="","",$H139-AVERAGE($H$6:$H$143))</f>
        <v/>
      </c>
      <c r="M139">
        <f>IF($L139="","",IF($C139="FBS-RECLASSIFYING",IF($L139&lt;0,$L139,$L139*(1-SETTINGS!$B$16)),$L139*(1-SETTINGS!$B$15)))</f>
        <v/>
      </c>
      <c r="P139">
        <f>IF($M139="","",$M139-AVERAGE($M$6:$M$143))</f>
        <v/>
      </c>
      <c r="Q139" t="n">
        <v>-17.7</v>
      </c>
      <c r="R139" s="1" t="n">
        <v>46222</v>
      </c>
      <c r="S139" t="inlineStr">
        <is>
          <t>https://www.teamrankings.com/college-football/ranking/predictive-by-other</t>
        </is>
      </c>
      <c r="T139">
        <f>IF($Q139="","",$Q139-AVERAGE($Q$6:$Q$143))</f>
        <v/>
      </c>
      <c r="X139">
        <f>IF($U139="","",$U139-AVERAGE($U$6:$U$143))</f>
        <v/>
      </c>
      <c r="Y139">
        <f>IF($A139="","",SETTINGS!$B$28*ISNUMBER($G139)+SETTINGS!$B$29*ISNUMBER($K139)+SETTINGS!$B$30*ISNUMBER($P139)+SETTINGS!$B$31*ISNUMBER($T139)+SETTINGS!$B$32*ISNUMBER($X139))</f>
        <v/>
      </c>
      <c r="Z139">
        <f>IF($A139="","",IF($Y139=0,"",(SETTINGS!$B$28*IF(ISNUMBER($G139),$G139,0)+SETTINGS!$B$29*IF(ISNUMBER($K139),$K139,0)+SETTINGS!$B$30*IF(ISNUMBER($P139),$P139,0)+SETTINGS!$B$31*IF(ISNUMBER($T139),$T139,0)+SETTINGS!$B$32*IF(ISNUMBER($X139),$X139,0))/$Y139))</f>
        <v/>
      </c>
      <c r="AA139">
        <f>IF($A139="","",COUNT($D139,$H139,$L139,$Q139,$U139))</f>
        <v/>
      </c>
      <c r="AB139">
        <f>IF($A139="","",IF($AA139&lt;=1,"SINGLE-SOURCE / LOW CONFIDENCE",""))</f>
        <v/>
      </c>
      <c r="AC139">
        <f>IF($A139="","",IF(AND($C139="FBS-RECLASSIFYING",ISNUMBER($L139),$L139&lt;0),"NO-AUTO-UPGRADE GUARD APPLIED",""))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MAP'!$D140)</f>
        <v/>
      </c>
      <c r="D140" t="n">
        <v>-6</v>
      </c>
      <c r="E140" s="1" t="n">
        <v>46108</v>
      </c>
      <c r="F140" t="inlineStr">
        <is>
          <t>https://www.espn.com/college-football/story/_/id/48306284/2026-college-football-sp+-rankings-138-fbs-teams</t>
        </is>
      </c>
      <c r="G140">
        <f>IF($D140="","",$D140-AVERAGE($D$6:$D$143))</f>
        <v/>
      </c>
      <c r="H140" t="n">
        <v>-7.4</v>
      </c>
      <c r="I140" s="1" t="n">
        <v>46222</v>
      </c>
      <c r="J140" t="inlineStr">
        <is>
          <t>https://www.espn.com/college-football/fpi</t>
        </is>
      </c>
      <c r="K140">
        <f>IF($H140="","",$H140-AVERAGE($H$6:$H$143))</f>
        <v/>
      </c>
      <c r="M140">
        <f>IF($L140="","",IF($C140="FBS-RECLASSIFYING",IF($L140&lt;0,$L140,$L140*(1-SETTINGS!$B$16)),$L140*(1-SETTINGS!$B$15)))</f>
        <v/>
      </c>
      <c r="P140">
        <f>IF($M140="","",$M140-AVERAGE($M$6:$M$143))</f>
        <v/>
      </c>
      <c r="Q140" t="n">
        <v>-7.7</v>
      </c>
      <c r="R140" s="1" t="n">
        <v>46222</v>
      </c>
      <c r="S140" t="inlineStr">
        <is>
          <t>https://www.teamrankings.com/college-football/ranking/predictive-by-other</t>
        </is>
      </c>
      <c r="T140">
        <f>IF($Q140="","",$Q140-AVERAGE($Q$6:$Q$143))</f>
        <v/>
      </c>
      <c r="X140">
        <f>IF($U140="","",$U140-AVERAGE($U$6:$U$143))</f>
        <v/>
      </c>
      <c r="Y140">
        <f>IF($A140="","",SETTINGS!$B$28*ISNUMBER($G140)+SETTINGS!$B$29*ISNUMBER($K140)+SETTINGS!$B$30*ISNUMBER($P140)+SETTINGS!$B$31*ISNUMBER($T140)+SETTINGS!$B$32*ISNUMBER($X140))</f>
        <v/>
      </c>
      <c r="Z140">
        <f>IF($A140="","",IF($Y140=0,"",(SETTINGS!$B$28*IF(ISNUMBER($G140),$G140,0)+SETTINGS!$B$29*IF(ISNUMBER($K140),$K140,0)+SETTINGS!$B$30*IF(ISNUMBER($P140),$P140,0)+SETTINGS!$B$31*IF(ISNUMBER($T140),$T140,0)+SETTINGS!$B$32*IF(ISNUMBER($X140),$X140,0))/$Y140))</f>
        <v/>
      </c>
      <c r="AA140">
        <f>IF($A140="","",COUNT($D140,$H140,$L140,$Q140,$U140))</f>
        <v/>
      </c>
      <c r="AB140">
        <f>IF($A140="","",IF($AA140&lt;=1,"SINGLE-SOURCE / LOW CONFIDENCE",""))</f>
        <v/>
      </c>
      <c r="AC140">
        <f>IF($A140="","",IF(AND($C140="FBS-RECLASSIFYING",ISNUMBER($L140),$L140&lt;0),"NO-AUTO-UPGRADE GUARD APPLIED",""))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MAP'!$D141)</f>
        <v/>
      </c>
      <c r="D141" t="n">
        <v>-24.3</v>
      </c>
      <c r="E141" s="1" t="n">
        <v>46108</v>
      </c>
      <c r="F141" t="inlineStr">
        <is>
          <t>https://www.espn.com/college-football/story/_/id/48306284/2026-college-football-sp+-rankings-138-fbs-teams</t>
        </is>
      </c>
      <c r="G141">
        <f>IF($D141="","",$D141-AVERAGE($D$6:$D$143))</f>
        <v/>
      </c>
      <c r="H141" t="n">
        <v>-19.3</v>
      </c>
      <c r="I141" s="1" t="n">
        <v>46222</v>
      </c>
      <c r="J141" t="inlineStr">
        <is>
          <t>https://www.espn.com/college-football/fpi</t>
        </is>
      </c>
      <c r="K141">
        <f>IF($H141="","",$H141-AVERAGE($H$6:$H$143))</f>
        <v/>
      </c>
      <c r="M141">
        <f>IF($L141="","",IF($C141="FBS-RECLASSIFYING",IF($L141&lt;0,$L141,$L141*(1-SETTINGS!$B$16)),$L141*(1-SETTINGS!$B$15)))</f>
        <v/>
      </c>
      <c r="P141">
        <f>IF($M141="","",$M141-AVERAGE($M$6:$M$143))</f>
        <v/>
      </c>
      <c r="Q141" t="n">
        <v>-19.8</v>
      </c>
      <c r="R141" s="1" t="n">
        <v>46222</v>
      </c>
      <c r="S141" t="inlineStr">
        <is>
          <t>https://www.teamrankings.com/college-football/ranking/predictive-by-other</t>
        </is>
      </c>
      <c r="T141">
        <f>IF($Q141="","",$Q141-AVERAGE($Q$6:$Q$143))</f>
        <v/>
      </c>
      <c r="X141">
        <f>IF($U141="","",$U141-AVERAGE($U$6:$U$143))</f>
        <v/>
      </c>
      <c r="Y141">
        <f>IF($A141="","",SETTINGS!$B$28*ISNUMBER($G141)+SETTINGS!$B$29*ISNUMBER($K141)+SETTINGS!$B$30*ISNUMBER($P141)+SETTINGS!$B$31*ISNUMBER($T141)+SETTINGS!$B$32*ISNUMBER($X141))</f>
        <v/>
      </c>
      <c r="Z141">
        <f>IF($A141="","",IF($Y141=0,"",(SETTINGS!$B$28*IF(ISNUMBER($G141),$G141,0)+SETTINGS!$B$29*IF(ISNUMBER($K141),$K141,0)+SETTINGS!$B$30*IF(ISNUMBER($P141),$P141,0)+SETTINGS!$B$31*IF(ISNUMBER($T141),$T141,0)+SETTINGS!$B$32*IF(ISNUMBER($X141),$X141,0))/$Y141))</f>
        <v/>
      </c>
      <c r="AA141">
        <f>IF($A141="","",COUNT($D141,$H141,$L141,$Q141,$U141))</f>
        <v/>
      </c>
      <c r="AB141">
        <f>IF($A141="","",IF($AA141&lt;=1,"SINGLE-SOURCE / LOW CONFIDENCE",""))</f>
        <v/>
      </c>
      <c r="AC141">
        <f>IF($A141="","",IF(AND($C141="FBS-RECLASSIFYING",ISNUMBER($L141),$L141&lt;0),"NO-AUTO-UPGRADE GUARD APPLIED",""))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MAP'!$D142)</f>
        <v/>
      </c>
      <c r="D142" t="n">
        <v>25.8</v>
      </c>
      <c r="E142" s="1" t="n">
        <v>46108</v>
      </c>
      <c r="F142" t="inlineStr">
        <is>
          <t>https://www.espn.com/college-football/story/_/id/48306284/2026-college-football-sp+-rankings-138-fbs-teams</t>
        </is>
      </c>
      <c r="G142">
        <f>IF($D142="","",$D142-AVERAGE($D$6:$D$143))</f>
        <v/>
      </c>
      <c r="H142" t="n">
        <v>25.9</v>
      </c>
      <c r="I142" s="1" t="n">
        <v>46222</v>
      </c>
      <c r="J142" t="inlineStr">
        <is>
          <t>https://www.espn.com/college-football/fpi</t>
        </is>
      </c>
      <c r="K142">
        <f>IF($H142="","",$H142-AVERAGE($H$6:$H$143))</f>
        <v/>
      </c>
      <c r="M142">
        <f>IF($L142="","",IF($C142="FBS-RECLASSIFYING",IF($L142&lt;0,$L142,$L142*(1-SETTINGS!$B$16)),$L142*(1-SETTINGS!$B$15)))</f>
        <v/>
      </c>
      <c r="P142">
        <f>IF($M142="","",$M142-AVERAGE($M$6:$M$143))</f>
        <v/>
      </c>
      <c r="Q142" t="n">
        <v>29.1</v>
      </c>
      <c r="R142" s="1" t="n">
        <v>46222</v>
      </c>
      <c r="S142" t="inlineStr">
        <is>
          <t>https://www.teamrankings.com/college-football/ranking/predictive-by-other</t>
        </is>
      </c>
      <c r="T142">
        <f>IF($Q142="","",$Q142-AVERAGE($Q$6:$Q$143))</f>
        <v/>
      </c>
      <c r="X142">
        <f>IF($U142="","",$U142-AVERAGE($U$6:$U$143))</f>
        <v/>
      </c>
      <c r="Y142">
        <f>IF($A142="","",SETTINGS!$B$28*ISNUMBER($G142)+SETTINGS!$B$29*ISNUMBER($K142)+SETTINGS!$B$30*ISNUMBER($P142)+SETTINGS!$B$31*ISNUMBER($T142)+SETTINGS!$B$32*ISNUMBER($X142))</f>
        <v/>
      </c>
      <c r="Z142">
        <f>IF($A142="","",IF($Y142=0,"",(SETTINGS!$B$28*IF(ISNUMBER($G142),$G142,0)+SETTINGS!$B$29*IF(ISNUMBER($K142),$K142,0)+SETTINGS!$B$30*IF(ISNUMBER($P142),$P142,0)+SETTINGS!$B$31*IF(ISNUMBER($T142),$T142,0)+SETTINGS!$B$32*IF(ISNUMBER($X142),$X142,0))/$Y142))</f>
        <v/>
      </c>
      <c r="AA142">
        <f>IF($A142="","",COUNT($D142,$H142,$L142,$Q142,$U142))</f>
        <v/>
      </c>
      <c r="AB142">
        <f>IF($A142="","",IF($AA142&lt;=1,"SINGLE-SOURCE / LOW CONFIDENCE",""))</f>
        <v/>
      </c>
      <c r="AC142">
        <f>IF($A142="","",IF(AND($C142="FBS-RECLASSIFYING",ISNUMBER($L142),$L142&lt;0),"NO-AUTO-UPGRADE GUARD APPLIED",""))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MAP'!$D143)</f>
        <v/>
      </c>
      <c r="D143" t="n">
        <v>-11.2</v>
      </c>
      <c r="E143" s="1" t="n">
        <v>46108</v>
      </c>
      <c r="F143" t="inlineStr">
        <is>
          <t>https://www.espn.com/college-football/story/_/id/48306284/2026-college-football-sp+-rankings-138-fbs-teams</t>
        </is>
      </c>
      <c r="G143">
        <f>IF($D143="","",$D143-AVERAGE($D$6:$D$143))</f>
        <v/>
      </c>
      <c r="H143" t="n">
        <v>-11.2</v>
      </c>
      <c r="I143" s="1" t="n">
        <v>46222</v>
      </c>
      <c r="J143" t="inlineStr">
        <is>
          <t>https://www.espn.com/college-football/fpi</t>
        </is>
      </c>
      <c r="K143">
        <f>IF($H143="","",$H143-AVERAGE($H$6:$H$143))</f>
        <v/>
      </c>
      <c r="M143">
        <f>IF($L143="","",IF($C143="FBS-RECLASSIFYING",IF($L143&lt;0,$L143,$L143*(1-SETTINGS!$B$16)),$L143*(1-SETTINGS!$B$15)))</f>
        <v/>
      </c>
      <c r="P143">
        <f>IF($M143="","",$M143-AVERAGE($M$6:$M$143))</f>
        <v/>
      </c>
      <c r="Q143" t="n">
        <v>-10.9</v>
      </c>
      <c r="R143" s="1" t="n">
        <v>46222</v>
      </c>
      <c r="S143" t="inlineStr">
        <is>
          <t>https://www.teamrankings.com/college-football/ranking/predictive-by-other</t>
        </is>
      </c>
      <c r="T143">
        <f>IF($Q143="","",$Q143-AVERAGE($Q$6:$Q$143))</f>
        <v/>
      </c>
      <c r="X143">
        <f>IF($U143="","",$U143-AVERAGE($U$6:$U$143))</f>
        <v/>
      </c>
      <c r="Y143">
        <f>IF($A143="","",SETTINGS!$B$28*ISNUMBER($G143)+SETTINGS!$B$29*ISNUMBER($K143)+SETTINGS!$B$30*ISNUMBER($P143)+SETTINGS!$B$31*ISNUMBER($T143)+SETTINGS!$B$32*ISNUMBER($X143))</f>
        <v/>
      </c>
      <c r="Z143">
        <f>IF($A143="","",IF($Y143=0,"",(SETTINGS!$B$28*IF(ISNUMBER($G143),$G143,0)+SETTINGS!$B$29*IF(ISNUMBER($K143),$K143,0)+SETTINGS!$B$30*IF(ISNUMBER($P143),$P143,0)+SETTINGS!$B$31*IF(ISNUMBER($T143),$T143,0)+SETTINGS!$B$32*IF(ISNUMBER($X143),$X143,0))/$Y143))</f>
        <v/>
      </c>
      <c r="AA143">
        <f>IF($A143="","",COUNT($D143,$H143,$L143,$Q143,$U143))</f>
        <v/>
      </c>
      <c r="AB143">
        <f>IF($A143="","",IF($AA143&lt;=1,"SINGLE-SOURCE / LOW CONFIDENCE",""))</f>
        <v/>
      </c>
      <c r="AC143">
        <f>IF($A143="","",IF(AND($C143="FBS-RECLASSIFYING",ISNUMBER($L143),$L143&lt;0),"NO-AUTO-UPGRADE GUARD APPLIED",""))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W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MAP'!$C6)</f>
        <v/>
      </c>
      <c r="D6">
        <f>IF('TEAM MAP'!$A6="","",'TEAM MAP'!$E6)</f>
        <v/>
      </c>
      <c r="E6">
        <f>IF($A6="","",IF(ISNA(MATCH($A6,PRESEASON!$A$6:$A$143,0)),"",IF(INDEX(PRESEASON!$Z$6:$Z$143,MATCH($A6,PRESEASON!$A$6:$A$143,0))="","",INDEX(PRESEASON!$Z$6:$Z$143,MATCH($A6,PRESEASON!$A$6:$A$143,0)))))</f>
        <v/>
      </c>
      <c r="F6">
        <f>IF($A6="","",SUMIFS(CLEAN!$AB$6:$AB$1005,CLEAN!$P$6:$P$1005,$A6)+SUMIFS(CLEAN!$AC$6:$AC$1005,CLEAN!$N$6:$N$1005,$A6))</f>
        <v/>
      </c>
      <c r="G6">
        <f>IF(OR($A6="",$F6=""),"",IF(MIN($F6,9)&gt;=9,SETTINGS!$C$46,INDEX(SETTINGS!$C$37:$C$46,INT(MIN($F6,9))+1)+(MIN($F6,9)-INT(MIN($F6,9)))*(INDEX(SETTINGS!$C$37:$C$46,INT(MIN($F6,9))+2)-INDEX(SETTINGS!$C$37:$C$46,INT(MIN($F6,9))+1))))</f>
        <v/>
      </c>
      <c r="H6">
        <f>IF($A6="","",IF(ISNA(MATCH($A6,CALC!$A$6:$A$143,0)),"",IF(INDEX(CALC!$H$6:$H$143,MATCH($A6,CALC!$A$6:$A$143,0))="","",INDEX(CALC!$H$6:$H$143,MATCH($A6,CALC!$A$6:$A$143,0)))))</f>
        <v/>
      </c>
      <c r="I6">
        <f>IF($E6="","",IF(OR($H6="",$F6=0,$F6=""),$E6,$G6*$E6+(1-$G6)*$H6))</f>
        <v/>
      </c>
      <c r="J6">
        <f>IF(OR($A6="",SETTINGS!$B$4="",SETTINGS!$B$4&lt;=1),"",IF(COUNTIFS(HISTORY!$A$6:$A$3005,SETTINGS!$B$4-1,HISTORY!$B$6:$B$3005,$A6)=1,SUMIFS(HISTORY!$C$6:$C$3005,HISTORY!$A$6:$A$3005,SETTINGS!$B$4-1,HISTORY!$B$6:$B$3005,$A6),""))</f>
        <v/>
      </c>
      <c r="K6">
        <f>IF($I6="","",IF(ISNUMBER($J6),$J6+MAX(-SETTINGS!$B$12,MIN(SETTINGS!$B$12,$I6-$J6)),$I6))</f>
        <v/>
      </c>
      <c r="O6">
        <f>IF($A6="","",IF(ISNUMBER($L6),$L6,IF($K6="","",$K6)))</f>
        <v/>
      </c>
      <c r="P6">
        <f>IF($A6="","",IF(ISNUMBER($L6),"OVERRIDE","MODEL"))</f>
        <v/>
      </c>
      <c r="Q6">
        <f>IF($A6="","",SETTINGS!$B$6)</f>
        <v/>
      </c>
      <c r="S6">
        <f>IF($A6="","",IF(ISNUMBER($R6),$R6,$Q6))</f>
        <v/>
      </c>
      <c r="W6">
        <f>IF($A6="","",SUMIFS(CLEAN!$AD$6:$AD$1005,CLEAN!$P$6:$P$1005,$A6)+SUMIFS(CLEAN!$AE$6:$AE$1005,CLEAN!$N$6:$N$1005,$A6))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MAP'!$C7)</f>
        <v/>
      </c>
      <c r="D7">
        <f>IF('TEAM MAP'!$A7="","",'TEAM MAP'!$E7)</f>
        <v/>
      </c>
      <c r="E7">
        <f>IF($A7="","",IF(ISNA(MATCH($A7,PRESEASON!$A$6:$A$143,0)),"",IF(INDEX(PRESEASON!$Z$6:$Z$143,MATCH($A7,PRESEASON!$A$6:$A$143,0))="","",INDEX(PRESEASON!$Z$6:$Z$143,MATCH($A7,PRESEASON!$A$6:$A$143,0)))))</f>
        <v/>
      </c>
      <c r="F7">
        <f>IF($A7="","",SUMIFS(CLEAN!$AB$6:$AB$1005,CLEAN!$P$6:$P$1005,$A7)+SUMIFS(CLEAN!$AC$6:$AC$1005,CLEAN!$N$6:$N$1005,$A7))</f>
        <v/>
      </c>
      <c r="G7">
        <f>IF(OR($A7="",$F7=""),"",IF(MIN($F7,9)&gt;=9,SETTINGS!$C$46,INDEX(SETTINGS!$C$37:$C$46,INT(MIN($F7,9))+1)+(MIN($F7,9)-INT(MIN($F7,9)))*(INDEX(SETTINGS!$C$37:$C$46,INT(MIN($F7,9))+2)-INDEX(SETTINGS!$C$37:$C$46,INT(MIN($F7,9))+1))))</f>
        <v/>
      </c>
      <c r="H7">
        <f>IF($A7="","",IF(ISNA(MATCH($A7,CALC!$A$6:$A$143,0)),"",IF(INDEX(CALC!$H$6:$H$143,MATCH($A7,CALC!$A$6:$A$143,0))="","",INDEX(CALC!$H$6:$H$143,MATCH($A7,CALC!$A$6:$A$143,0)))))</f>
        <v/>
      </c>
      <c r="I7">
        <f>IF($E7="","",IF(OR($H7="",$F7=0,$F7=""),$E7,$G7*$E7+(1-$G7)*$H7))</f>
        <v/>
      </c>
      <c r="J7">
        <f>IF(OR($A7="",SETTINGS!$B$4="",SETTINGS!$B$4&lt;=1),"",IF(COUNTIFS(HISTORY!$A$6:$A$3005,SETTINGS!$B$4-1,HISTORY!$B$6:$B$3005,$A7)=1,SUMIFS(HISTORY!$C$6:$C$3005,HISTORY!$A$6:$A$3005,SETTINGS!$B$4-1,HISTORY!$B$6:$B$3005,$A7),""))</f>
        <v/>
      </c>
      <c r="K7">
        <f>IF($I7="","",IF(ISNUMBER($J7),$J7+MAX(-SETTINGS!$B$12,MIN(SETTINGS!$B$12,$I7-$J7)),$I7))</f>
        <v/>
      </c>
      <c r="O7">
        <f>IF($A7="","",IF(ISNUMBER($L7),$L7,IF($K7="","",$K7)))</f>
        <v/>
      </c>
      <c r="P7">
        <f>IF($A7="","",IF(ISNUMBER($L7),"OVERRIDE","MODEL"))</f>
        <v/>
      </c>
      <c r="Q7">
        <f>IF($A7="","",SETTINGS!$B$6)</f>
        <v/>
      </c>
      <c r="S7">
        <f>IF($A7="","",IF(ISNUMBER($R7),$R7,$Q7))</f>
        <v/>
      </c>
      <c r="W7">
        <f>IF($A7="","",SUMIFS(CLEAN!$AD$6:$AD$1005,CLEAN!$P$6:$P$1005,$A7)+SUMIFS(CLEAN!$AE$6:$AE$1005,CLEAN!$N$6:$N$1005,$A7))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MAP'!$C8)</f>
        <v/>
      </c>
      <c r="D8">
        <f>IF('TEAM MAP'!$A8="","",'TEAM MAP'!$E8)</f>
        <v/>
      </c>
      <c r="E8">
        <f>IF($A8="","",IF(ISNA(MATCH($A8,PRESEASON!$A$6:$A$143,0)),"",IF(INDEX(PRESEASON!$Z$6:$Z$143,MATCH($A8,PRESEASON!$A$6:$A$143,0))="","",INDEX(PRESEASON!$Z$6:$Z$143,MATCH($A8,PRESEASON!$A$6:$A$143,0)))))</f>
        <v/>
      </c>
      <c r="F8">
        <f>IF($A8="","",SUMIFS(CLEAN!$AB$6:$AB$1005,CLEAN!$P$6:$P$1005,$A8)+SUMIFS(CLEAN!$AC$6:$AC$1005,CLEAN!$N$6:$N$1005,$A8))</f>
        <v/>
      </c>
      <c r="G8">
        <f>IF(OR($A8="",$F8=""),"",IF(MIN($F8,9)&gt;=9,SETTINGS!$C$46,INDEX(SETTINGS!$C$37:$C$46,INT(MIN($F8,9))+1)+(MIN($F8,9)-INT(MIN($F8,9)))*(INDEX(SETTINGS!$C$37:$C$46,INT(MIN($F8,9))+2)-INDEX(SETTINGS!$C$37:$C$46,INT(MIN($F8,9))+1))))</f>
        <v/>
      </c>
      <c r="H8">
        <f>IF($A8="","",IF(ISNA(MATCH($A8,CALC!$A$6:$A$143,0)),"",IF(INDEX(CALC!$H$6:$H$143,MATCH($A8,CALC!$A$6:$A$143,0))="","",INDEX(CALC!$H$6:$H$143,MATCH($A8,CALC!$A$6:$A$143,0)))))</f>
        <v/>
      </c>
      <c r="I8">
        <f>IF($E8="","",IF(OR($H8="",$F8=0,$F8=""),$E8,$G8*$E8+(1-$G8)*$H8))</f>
        <v/>
      </c>
      <c r="J8">
        <f>IF(OR($A8="",SETTINGS!$B$4="",SETTINGS!$B$4&lt;=1),"",IF(COUNTIFS(HISTORY!$A$6:$A$3005,SETTINGS!$B$4-1,HISTORY!$B$6:$B$3005,$A8)=1,SUMIFS(HISTORY!$C$6:$C$3005,HISTORY!$A$6:$A$3005,SETTINGS!$B$4-1,HISTORY!$B$6:$B$3005,$A8),""))</f>
        <v/>
      </c>
      <c r="K8">
        <f>IF($I8="","",IF(ISNUMBER($J8),$J8+MAX(-SETTINGS!$B$12,MIN(SETTINGS!$B$12,$I8-$J8)),$I8))</f>
        <v/>
      </c>
      <c r="O8">
        <f>IF($A8="","",IF(ISNUMBER($L8),$L8,IF($K8="","",$K8)))</f>
        <v/>
      </c>
      <c r="P8">
        <f>IF($A8="","",IF(ISNUMBER($L8),"OVERRIDE","MODEL"))</f>
        <v/>
      </c>
      <c r="Q8">
        <f>IF($A8="","",SETTINGS!$B$6)</f>
        <v/>
      </c>
      <c r="S8">
        <f>IF($A8="","",IF(ISNUMBER($R8),$R8,$Q8))</f>
        <v/>
      </c>
      <c r="W8">
        <f>IF($A8="","",SUMIFS(CLEAN!$AD$6:$AD$1005,CLEAN!$P$6:$P$1005,$A8)+SUMIFS(CLEAN!$AE$6:$AE$1005,CLEAN!$N$6:$N$1005,$A8))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MAP'!$C9)</f>
        <v/>
      </c>
      <c r="D9">
        <f>IF('TEAM MAP'!$A9="","",'TEAM MAP'!$E9)</f>
        <v/>
      </c>
      <c r="E9">
        <f>IF($A9="","",IF(ISNA(MATCH($A9,PRESEASON!$A$6:$A$143,0)),"",IF(INDEX(PRESEASON!$Z$6:$Z$143,MATCH($A9,PRESEASON!$A$6:$A$143,0))="","",INDEX(PRESEASON!$Z$6:$Z$143,MATCH($A9,PRESEASON!$A$6:$A$143,0)))))</f>
        <v/>
      </c>
      <c r="F9">
        <f>IF($A9="","",SUMIFS(CLEAN!$AB$6:$AB$1005,CLEAN!$P$6:$P$1005,$A9)+SUMIFS(CLEAN!$AC$6:$AC$1005,CLEAN!$N$6:$N$1005,$A9))</f>
        <v/>
      </c>
      <c r="G9">
        <f>IF(OR($A9="",$F9=""),"",IF(MIN($F9,9)&gt;=9,SETTINGS!$C$46,INDEX(SETTINGS!$C$37:$C$46,INT(MIN($F9,9))+1)+(MIN($F9,9)-INT(MIN($F9,9)))*(INDEX(SETTINGS!$C$37:$C$46,INT(MIN($F9,9))+2)-INDEX(SETTINGS!$C$37:$C$46,INT(MIN($F9,9))+1))))</f>
        <v/>
      </c>
      <c r="H9">
        <f>IF($A9="","",IF(ISNA(MATCH($A9,CALC!$A$6:$A$143,0)),"",IF(INDEX(CALC!$H$6:$H$143,MATCH($A9,CALC!$A$6:$A$143,0))="","",INDEX(CALC!$H$6:$H$143,MATCH($A9,CALC!$A$6:$A$143,0)))))</f>
        <v/>
      </c>
      <c r="I9">
        <f>IF($E9="","",IF(OR($H9="",$F9=0,$F9=""),$E9,$G9*$E9+(1-$G9)*$H9))</f>
        <v/>
      </c>
      <c r="J9">
        <f>IF(OR($A9="",SETTINGS!$B$4="",SETTINGS!$B$4&lt;=1),"",IF(COUNTIFS(HISTORY!$A$6:$A$3005,SETTINGS!$B$4-1,HISTORY!$B$6:$B$3005,$A9)=1,SUMIFS(HISTORY!$C$6:$C$3005,HISTORY!$A$6:$A$3005,SETTINGS!$B$4-1,HISTORY!$B$6:$B$3005,$A9),""))</f>
        <v/>
      </c>
      <c r="K9">
        <f>IF($I9="","",IF(ISNUMBER($J9),$J9+MAX(-SETTINGS!$B$12,MIN(SETTINGS!$B$12,$I9-$J9)),$I9))</f>
        <v/>
      </c>
      <c r="O9">
        <f>IF($A9="","",IF(ISNUMBER($L9),$L9,IF($K9="","",$K9)))</f>
        <v/>
      </c>
      <c r="P9">
        <f>IF($A9="","",IF(ISNUMBER($L9),"OVERRIDE","MODEL"))</f>
        <v/>
      </c>
      <c r="Q9">
        <f>IF($A9="","",SETTINGS!$B$6)</f>
        <v/>
      </c>
      <c r="S9">
        <f>IF($A9="","",IF(ISNUMBER($R9),$R9,$Q9))</f>
        <v/>
      </c>
      <c r="W9">
        <f>IF($A9="","",SUMIFS(CLEAN!$AD$6:$AD$1005,CLEAN!$P$6:$P$1005,$A9)+SUMIFS(CLEAN!$AE$6:$AE$1005,CLEAN!$N$6:$N$1005,$A9))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MAP'!$C10)</f>
        <v/>
      </c>
      <c r="D10">
        <f>IF('TEAM MAP'!$A10="","",'TEAM MAP'!$E10)</f>
        <v/>
      </c>
      <c r="E10">
        <f>IF($A10="","",IF(ISNA(MATCH($A10,PRESEASON!$A$6:$A$143,0)),"",IF(INDEX(PRESEASON!$Z$6:$Z$143,MATCH($A10,PRESEASON!$A$6:$A$143,0))="","",INDEX(PRESEASON!$Z$6:$Z$143,MATCH($A10,PRESEASON!$A$6:$A$143,0)))))</f>
        <v/>
      </c>
      <c r="F10">
        <f>IF($A10="","",SUMIFS(CLEAN!$AB$6:$AB$1005,CLEAN!$P$6:$P$1005,$A10)+SUMIFS(CLEAN!$AC$6:$AC$1005,CLEAN!$N$6:$N$1005,$A10))</f>
        <v/>
      </c>
      <c r="G10">
        <f>IF(OR($A10="",$F10=""),"",IF(MIN($F10,9)&gt;=9,SETTINGS!$C$46,INDEX(SETTINGS!$C$37:$C$46,INT(MIN($F10,9))+1)+(MIN($F10,9)-INT(MIN($F10,9)))*(INDEX(SETTINGS!$C$37:$C$46,INT(MIN($F10,9))+2)-INDEX(SETTINGS!$C$37:$C$46,INT(MIN($F10,9))+1))))</f>
        <v/>
      </c>
      <c r="H10">
        <f>IF($A10="","",IF(ISNA(MATCH($A10,CALC!$A$6:$A$143,0)),"",IF(INDEX(CALC!$H$6:$H$143,MATCH($A10,CALC!$A$6:$A$143,0))="","",INDEX(CALC!$H$6:$H$143,MATCH($A10,CALC!$A$6:$A$143,0)))))</f>
        <v/>
      </c>
      <c r="I10">
        <f>IF($E10="","",IF(OR($H10="",$F10=0,$F10=""),$E10,$G10*$E10+(1-$G10)*$H10))</f>
        <v/>
      </c>
      <c r="J10">
        <f>IF(OR($A10="",SETTINGS!$B$4="",SETTINGS!$B$4&lt;=1),"",IF(COUNTIFS(HISTORY!$A$6:$A$3005,SETTINGS!$B$4-1,HISTORY!$B$6:$B$3005,$A10)=1,SUMIFS(HISTORY!$C$6:$C$3005,HISTORY!$A$6:$A$3005,SETTINGS!$B$4-1,HISTORY!$B$6:$B$3005,$A10),""))</f>
        <v/>
      </c>
      <c r="K10">
        <f>IF($I10="","",IF(ISNUMBER($J10),$J10+MAX(-SETTINGS!$B$12,MIN(SETTINGS!$B$12,$I10-$J10)),$I10))</f>
        <v/>
      </c>
      <c r="O10">
        <f>IF($A10="","",IF(ISNUMBER($L10),$L10,IF($K10="","",$K10)))</f>
        <v/>
      </c>
      <c r="P10">
        <f>IF($A10="","",IF(ISNUMBER($L10),"OVERRIDE","MODEL"))</f>
        <v/>
      </c>
      <c r="Q10">
        <f>IF($A10="","",SETTINGS!$B$6)</f>
        <v/>
      </c>
      <c r="S10">
        <f>IF($A10="","",IF(ISNUMBER($R10),$R10,$Q10))</f>
        <v/>
      </c>
      <c r="W10">
        <f>IF($A10="","",SUMIFS(CLEAN!$AD$6:$AD$1005,CLEAN!$P$6:$P$1005,$A10)+SUMIFS(CLEAN!$AE$6:$AE$1005,CLEAN!$N$6:$N$1005,$A10))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MAP'!$C11)</f>
        <v/>
      </c>
      <c r="D11">
        <f>IF('TEAM MAP'!$A11="","",'TEAM MAP'!$E11)</f>
        <v/>
      </c>
      <c r="E11">
        <f>IF($A11="","",IF(ISNA(MATCH($A11,PRESEASON!$A$6:$A$143,0)),"",IF(INDEX(PRESEASON!$Z$6:$Z$143,MATCH($A11,PRESEASON!$A$6:$A$143,0))="","",INDEX(PRESEASON!$Z$6:$Z$143,MATCH($A11,PRESEASON!$A$6:$A$143,0)))))</f>
        <v/>
      </c>
      <c r="F11">
        <f>IF($A11="","",SUMIFS(CLEAN!$AB$6:$AB$1005,CLEAN!$P$6:$P$1005,$A11)+SUMIFS(CLEAN!$AC$6:$AC$1005,CLEAN!$N$6:$N$1005,$A11))</f>
        <v/>
      </c>
      <c r="G11">
        <f>IF(OR($A11="",$F11=""),"",IF(MIN($F11,9)&gt;=9,SETTINGS!$C$46,INDEX(SETTINGS!$C$37:$C$46,INT(MIN($F11,9))+1)+(MIN($F11,9)-INT(MIN($F11,9)))*(INDEX(SETTINGS!$C$37:$C$46,INT(MIN($F11,9))+2)-INDEX(SETTINGS!$C$37:$C$46,INT(MIN($F11,9))+1))))</f>
        <v/>
      </c>
      <c r="H11">
        <f>IF($A11="","",IF(ISNA(MATCH($A11,CALC!$A$6:$A$143,0)),"",IF(INDEX(CALC!$H$6:$H$143,MATCH($A11,CALC!$A$6:$A$143,0))="","",INDEX(CALC!$H$6:$H$143,MATCH($A11,CALC!$A$6:$A$143,0)))))</f>
        <v/>
      </c>
      <c r="I11">
        <f>IF($E11="","",IF(OR($H11="",$F11=0,$F11=""),$E11,$G11*$E11+(1-$G11)*$H11))</f>
        <v/>
      </c>
      <c r="J11">
        <f>IF(OR($A11="",SETTINGS!$B$4="",SETTINGS!$B$4&lt;=1),"",IF(COUNTIFS(HISTORY!$A$6:$A$3005,SETTINGS!$B$4-1,HISTORY!$B$6:$B$3005,$A11)=1,SUMIFS(HISTORY!$C$6:$C$3005,HISTORY!$A$6:$A$3005,SETTINGS!$B$4-1,HISTORY!$B$6:$B$3005,$A11),""))</f>
        <v/>
      </c>
      <c r="K11">
        <f>IF($I11="","",IF(ISNUMBER($J11),$J11+MAX(-SETTINGS!$B$12,MIN(SETTINGS!$B$12,$I11-$J11)),$I11))</f>
        <v/>
      </c>
      <c r="O11">
        <f>IF($A11="","",IF(ISNUMBER($L11),$L11,IF($K11="","",$K11)))</f>
        <v/>
      </c>
      <c r="P11">
        <f>IF($A11="","",IF(ISNUMBER($L11),"OVERRIDE","MODEL"))</f>
        <v/>
      </c>
      <c r="Q11">
        <f>IF($A11="","",SETTINGS!$B$6)</f>
        <v/>
      </c>
      <c r="S11">
        <f>IF($A11="","",IF(ISNUMBER($R11),$R11,$Q11))</f>
        <v/>
      </c>
      <c r="W11">
        <f>IF($A11="","",SUMIFS(CLEAN!$AD$6:$AD$1005,CLEAN!$P$6:$P$1005,$A11)+SUMIFS(CLEAN!$AE$6:$AE$1005,CLEAN!$N$6:$N$1005,$A11))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MAP'!$C12)</f>
        <v/>
      </c>
      <c r="D12">
        <f>IF('TEAM MAP'!$A12="","",'TEAM MAP'!$E12)</f>
        <v/>
      </c>
      <c r="E12">
        <f>IF($A12="","",IF(ISNA(MATCH($A12,PRESEASON!$A$6:$A$143,0)),"",IF(INDEX(PRESEASON!$Z$6:$Z$143,MATCH($A12,PRESEASON!$A$6:$A$143,0))="","",INDEX(PRESEASON!$Z$6:$Z$143,MATCH($A12,PRESEASON!$A$6:$A$143,0)))))</f>
        <v/>
      </c>
      <c r="F12">
        <f>IF($A12="","",SUMIFS(CLEAN!$AB$6:$AB$1005,CLEAN!$P$6:$P$1005,$A12)+SUMIFS(CLEAN!$AC$6:$AC$1005,CLEAN!$N$6:$N$1005,$A12))</f>
        <v/>
      </c>
      <c r="G12">
        <f>IF(OR($A12="",$F12=""),"",IF(MIN($F12,9)&gt;=9,SETTINGS!$C$46,INDEX(SETTINGS!$C$37:$C$46,INT(MIN($F12,9))+1)+(MIN($F12,9)-INT(MIN($F12,9)))*(INDEX(SETTINGS!$C$37:$C$46,INT(MIN($F12,9))+2)-INDEX(SETTINGS!$C$37:$C$46,INT(MIN($F12,9))+1))))</f>
        <v/>
      </c>
      <c r="H12">
        <f>IF($A12="","",IF(ISNA(MATCH($A12,CALC!$A$6:$A$143,0)),"",IF(INDEX(CALC!$H$6:$H$143,MATCH($A12,CALC!$A$6:$A$143,0))="","",INDEX(CALC!$H$6:$H$143,MATCH($A12,CALC!$A$6:$A$143,0)))))</f>
        <v/>
      </c>
      <c r="I12">
        <f>IF($E12="","",IF(OR($H12="",$F12=0,$F12=""),$E12,$G12*$E12+(1-$G12)*$H12))</f>
        <v/>
      </c>
      <c r="J12">
        <f>IF(OR($A12="",SETTINGS!$B$4="",SETTINGS!$B$4&lt;=1),"",IF(COUNTIFS(HISTORY!$A$6:$A$3005,SETTINGS!$B$4-1,HISTORY!$B$6:$B$3005,$A12)=1,SUMIFS(HISTORY!$C$6:$C$3005,HISTORY!$A$6:$A$3005,SETTINGS!$B$4-1,HISTORY!$B$6:$B$3005,$A12),""))</f>
        <v/>
      </c>
      <c r="K12">
        <f>IF($I12="","",IF(ISNUMBER($J12),$J12+MAX(-SETTINGS!$B$12,MIN(SETTINGS!$B$12,$I12-$J12)),$I12))</f>
        <v/>
      </c>
      <c r="O12">
        <f>IF($A12="","",IF(ISNUMBER($L12),$L12,IF($K12="","",$K12)))</f>
        <v/>
      </c>
      <c r="P12">
        <f>IF($A12="","",IF(ISNUMBER($L12),"OVERRIDE","MODEL"))</f>
        <v/>
      </c>
      <c r="Q12">
        <f>IF($A12="","",SETTINGS!$B$6)</f>
        <v/>
      </c>
      <c r="S12">
        <f>IF($A12="","",IF(ISNUMBER($R12),$R12,$Q12))</f>
        <v/>
      </c>
      <c r="W12">
        <f>IF($A12="","",SUMIFS(CLEAN!$AD$6:$AD$1005,CLEAN!$P$6:$P$1005,$A12)+SUMIFS(CLEAN!$AE$6:$AE$1005,CLEAN!$N$6:$N$1005,$A12))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MAP'!$C13)</f>
        <v/>
      </c>
      <c r="D13">
        <f>IF('TEAM MAP'!$A13="","",'TEAM MAP'!$E13)</f>
        <v/>
      </c>
      <c r="E13">
        <f>IF($A13="","",IF(ISNA(MATCH($A13,PRESEASON!$A$6:$A$143,0)),"",IF(INDEX(PRESEASON!$Z$6:$Z$143,MATCH($A13,PRESEASON!$A$6:$A$143,0))="","",INDEX(PRESEASON!$Z$6:$Z$143,MATCH($A13,PRESEASON!$A$6:$A$143,0)))))</f>
        <v/>
      </c>
      <c r="F13">
        <f>IF($A13="","",SUMIFS(CLEAN!$AB$6:$AB$1005,CLEAN!$P$6:$P$1005,$A13)+SUMIFS(CLEAN!$AC$6:$AC$1005,CLEAN!$N$6:$N$1005,$A13))</f>
        <v/>
      </c>
      <c r="G13">
        <f>IF(OR($A13="",$F13=""),"",IF(MIN($F13,9)&gt;=9,SETTINGS!$C$46,INDEX(SETTINGS!$C$37:$C$46,INT(MIN($F13,9))+1)+(MIN($F13,9)-INT(MIN($F13,9)))*(INDEX(SETTINGS!$C$37:$C$46,INT(MIN($F13,9))+2)-INDEX(SETTINGS!$C$37:$C$46,INT(MIN($F13,9))+1))))</f>
        <v/>
      </c>
      <c r="H13">
        <f>IF($A13="","",IF(ISNA(MATCH($A13,CALC!$A$6:$A$143,0)),"",IF(INDEX(CALC!$H$6:$H$143,MATCH($A13,CALC!$A$6:$A$143,0))="","",INDEX(CALC!$H$6:$H$143,MATCH($A13,CALC!$A$6:$A$143,0)))))</f>
        <v/>
      </c>
      <c r="I13">
        <f>IF($E13="","",IF(OR($H13="",$F13=0,$F13=""),$E13,$G13*$E13+(1-$G13)*$H13))</f>
        <v/>
      </c>
      <c r="J13">
        <f>IF(OR($A13="",SETTINGS!$B$4="",SETTINGS!$B$4&lt;=1),"",IF(COUNTIFS(HISTORY!$A$6:$A$3005,SETTINGS!$B$4-1,HISTORY!$B$6:$B$3005,$A13)=1,SUMIFS(HISTORY!$C$6:$C$3005,HISTORY!$A$6:$A$3005,SETTINGS!$B$4-1,HISTORY!$B$6:$B$3005,$A13),""))</f>
        <v/>
      </c>
      <c r="K13">
        <f>IF($I13="","",IF(ISNUMBER($J13),$J13+MAX(-SETTINGS!$B$12,MIN(SETTINGS!$B$12,$I13-$J13)),$I13))</f>
        <v/>
      </c>
      <c r="O13">
        <f>IF($A13="","",IF(ISNUMBER($L13),$L13,IF($K13="","",$K13)))</f>
        <v/>
      </c>
      <c r="P13">
        <f>IF($A13="","",IF(ISNUMBER($L13),"OVERRIDE","MODEL"))</f>
        <v/>
      </c>
      <c r="Q13">
        <f>IF($A13="","",SETTINGS!$B$6)</f>
        <v/>
      </c>
      <c r="S13">
        <f>IF($A13="","",IF(ISNUMBER($R13),$R13,$Q13))</f>
        <v/>
      </c>
      <c r="W13">
        <f>IF($A13="","",SUMIFS(CLEAN!$AD$6:$AD$1005,CLEAN!$P$6:$P$1005,$A13)+SUMIFS(CLEAN!$AE$6:$AE$1005,CLEAN!$N$6:$N$1005,$A13))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MAP'!$C14)</f>
        <v/>
      </c>
      <c r="D14">
        <f>IF('TEAM MAP'!$A14="","",'TEAM MAP'!$E14)</f>
        <v/>
      </c>
      <c r="E14">
        <f>IF($A14="","",IF(ISNA(MATCH($A14,PRESEASON!$A$6:$A$143,0)),"",IF(INDEX(PRESEASON!$Z$6:$Z$143,MATCH($A14,PRESEASON!$A$6:$A$143,0))="","",INDEX(PRESEASON!$Z$6:$Z$143,MATCH($A14,PRESEASON!$A$6:$A$143,0)))))</f>
        <v/>
      </c>
      <c r="F14">
        <f>IF($A14="","",SUMIFS(CLEAN!$AB$6:$AB$1005,CLEAN!$P$6:$P$1005,$A14)+SUMIFS(CLEAN!$AC$6:$AC$1005,CLEAN!$N$6:$N$1005,$A14))</f>
        <v/>
      </c>
      <c r="G14">
        <f>IF(OR($A14="",$F14=""),"",IF(MIN($F14,9)&gt;=9,SETTINGS!$C$46,INDEX(SETTINGS!$C$37:$C$46,INT(MIN($F14,9))+1)+(MIN($F14,9)-INT(MIN($F14,9)))*(INDEX(SETTINGS!$C$37:$C$46,INT(MIN($F14,9))+2)-INDEX(SETTINGS!$C$37:$C$46,INT(MIN($F14,9))+1))))</f>
        <v/>
      </c>
      <c r="H14">
        <f>IF($A14="","",IF(ISNA(MATCH($A14,CALC!$A$6:$A$143,0)),"",IF(INDEX(CALC!$H$6:$H$143,MATCH($A14,CALC!$A$6:$A$143,0))="","",INDEX(CALC!$H$6:$H$143,MATCH($A14,CALC!$A$6:$A$143,0)))))</f>
        <v/>
      </c>
      <c r="I14">
        <f>IF($E14="","",IF(OR($H14="",$F14=0,$F14=""),$E14,$G14*$E14+(1-$G14)*$H14))</f>
        <v/>
      </c>
      <c r="J14">
        <f>IF(OR($A14="",SETTINGS!$B$4="",SETTINGS!$B$4&lt;=1),"",IF(COUNTIFS(HISTORY!$A$6:$A$3005,SETTINGS!$B$4-1,HISTORY!$B$6:$B$3005,$A14)=1,SUMIFS(HISTORY!$C$6:$C$3005,HISTORY!$A$6:$A$3005,SETTINGS!$B$4-1,HISTORY!$B$6:$B$3005,$A14),""))</f>
        <v/>
      </c>
      <c r="K14">
        <f>IF($I14="","",IF(ISNUMBER($J14),$J14+MAX(-SETTINGS!$B$12,MIN(SETTINGS!$B$12,$I14-$J14)),$I14))</f>
        <v/>
      </c>
      <c r="O14">
        <f>IF($A14="","",IF(ISNUMBER($L14),$L14,IF($K14="","",$K14)))</f>
        <v/>
      </c>
      <c r="P14">
        <f>IF($A14="","",IF(ISNUMBER($L14),"OVERRIDE","MODEL"))</f>
        <v/>
      </c>
      <c r="Q14">
        <f>IF($A14="","",SETTINGS!$B$6)</f>
        <v/>
      </c>
      <c r="S14">
        <f>IF($A14="","",IF(ISNUMBER($R14),$R14,$Q14))</f>
        <v/>
      </c>
      <c r="W14">
        <f>IF($A14="","",SUMIFS(CLEAN!$AD$6:$AD$1005,CLEAN!$P$6:$P$1005,$A14)+SUMIFS(CLEAN!$AE$6:$AE$1005,CLEAN!$N$6:$N$1005,$A14))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MAP'!$C15)</f>
        <v/>
      </c>
      <c r="D15">
        <f>IF('TEAM MAP'!$A15="","",'TEAM MAP'!$E15)</f>
        <v/>
      </c>
      <c r="E15">
        <f>IF($A15="","",IF(ISNA(MATCH($A15,PRESEASON!$A$6:$A$143,0)),"",IF(INDEX(PRESEASON!$Z$6:$Z$143,MATCH($A15,PRESEASON!$A$6:$A$143,0))="","",INDEX(PRESEASON!$Z$6:$Z$143,MATCH($A15,PRESEASON!$A$6:$A$143,0)))))</f>
        <v/>
      </c>
      <c r="F15">
        <f>IF($A15="","",SUMIFS(CLEAN!$AB$6:$AB$1005,CLEAN!$P$6:$P$1005,$A15)+SUMIFS(CLEAN!$AC$6:$AC$1005,CLEAN!$N$6:$N$1005,$A15))</f>
        <v/>
      </c>
      <c r="G15">
        <f>IF(OR($A15="",$F15=""),"",IF(MIN($F15,9)&gt;=9,SETTINGS!$C$46,INDEX(SETTINGS!$C$37:$C$46,INT(MIN($F15,9))+1)+(MIN($F15,9)-INT(MIN($F15,9)))*(INDEX(SETTINGS!$C$37:$C$46,INT(MIN($F15,9))+2)-INDEX(SETTINGS!$C$37:$C$46,INT(MIN($F15,9))+1))))</f>
        <v/>
      </c>
      <c r="H15">
        <f>IF($A15="","",IF(ISNA(MATCH($A15,CALC!$A$6:$A$143,0)),"",IF(INDEX(CALC!$H$6:$H$143,MATCH($A15,CALC!$A$6:$A$143,0))="","",INDEX(CALC!$H$6:$H$143,MATCH($A15,CALC!$A$6:$A$143,0)))))</f>
        <v/>
      </c>
      <c r="I15">
        <f>IF($E15="","",IF(OR($H15="",$F15=0,$F15=""),$E15,$G15*$E15+(1-$G15)*$H15))</f>
        <v/>
      </c>
      <c r="J15">
        <f>IF(OR($A15="",SETTINGS!$B$4="",SETTINGS!$B$4&lt;=1),"",IF(COUNTIFS(HISTORY!$A$6:$A$3005,SETTINGS!$B$4-1,HISTORY!$B$6:$B$3005,$A15)=1,SUMIFS(HISTORY!$C$6:$C$3005,HISTORY!$A$6:$A$3005,SETTINGS!$B$4-1,HISTORY!$B$6:$B$3005,$A15),""))</f>
        <v/>
      </c>
      <c r="K15">
        <f>IF($I15="","",IF(ISNUMBER($J15),$J15+MAX(-SETTINGS!$B$12,MIN(SETTINGS!$B$12,$I15-$J15)),$I15))</f>
        <v/>
      </c>
      <c r="O15">
        <f>IF($A15="","",IF(ISNUMBER($L15),$L15,IF($K15="","",$K15)))</f>
        <v/>
      </c>
      <c r="P15">
        <f>IF($A15="","",IF(ISNUMBER($L15),"OVERRIDE","MODEL"))</f>
        <v/>
      </c>
      <c r="Q15">
        <f>IF($A15="","",SETTINGS!$B$6)</f>
        <v/>
      </c>
      <c r="S15">
        <f>IF($A15="","",IF(ISNUMBER($R15),$R15,$Q15))</f>
        <v/>
      </c>
      <c r="W15">
        <f>IF($A15="","",SUMIFS(CLEAN!$AD$6:$AD$1005,CLEAN!$P$6:$P$1005,$A15)+SUMIFS(CLEAN!$AE$6:$AE$1005,CLEAN!$N$6:$N$1005,$A15))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MAP'!$C16)</f>
        <v/>
      </c>
      <c r="D16">
        <f>IF('TEAM MAP'!$A16="","",'TEAM MAP'!$E16)</f>
        <v/>
      </c>
      <c r="E16">
        <f>IF($A16="","",IF(ISNA(MATCH($A16,PRESEASON!$A$6:$A$143,0)),"",IF(INDEX(PRESEASON!$Z$6:$Z$143,MATCH($A16,PRESEASON!$A$6:$A$143,0))="","",INDEX(PRESEASON!$Z$6:$Z$143,MATCH($A16,PRESEASON!$A$6:$A$143,0)))))</f>
        <v/>
      </c>
      <c r="F16">
        <f>IF($A16="","",SUMIFS(CLEAN!$AB$6:$AB$1005,CLEAN!$P$6:$P$1005,$A16)+SUMIFS(CLEAN!$AC$6:$AC$1005,CLEAN!$N$6:$N$1005,$A16))</f>
        <v/>
      </c>
      <c r="G16">
        <f>IF(OR($A16="",$F16=""),"",IF(MIN($F16,9)&gt;=9,SETTINGS!$C$46,INDEX(SETTINGS!$C$37:$C$46,INT(MIN($F16,9))+1)+(MIN($F16,9)-INT(MIN($F16,9)))*(INDEX(SETTINGS!$C$37:$C$46,INT(MIN($F16,9))+2)-INDEX(SETTINGS!$C$37:$C$46,INT(MIN($F16,9))+1))))</f>
        <v/>
      </c>
      <c r="H16">
        <f>IF($A16="","",IF(ISNA(MATCH($A16,CALC!$A$6:$A$143,0)),"",IF(INDEX(CALC!$H$6:$H$143,MATCH($A16,CALC!$A$6:$A$143,0))="","",INDEX(CALC!$H$6:$H$143,MATCH($A16,CALC!$A$6:$A$143,0)))))</f>
        <v/>
      </c>
      <c r="I16">
        <f>IF($E16="","",IF(OR($H16="",$F16=0,$F16=""),$E16,$G16*$E16+(1-$G16)*$H16))</f>
        <v/>
      </c>
      <c r="J16">
        <f>IF(OR($A16="",SETTINGS!$B$4="",SETTINGS!$B$4&lt;=1),"",IF(COUNTIFS(HISTORY!$A$6:$A$3005,SETTINGS!$B$4-1,HISTORY!$B$6:$B$3005,$A16)=1,SUMIFS(HISTORY!$C$6:$C$3005,HISTORY!$A$6:$A$3005,SETTINGS!$B$4-1,HISTORY!$B$6:$B$3005,$A16),""))</f>
        <v/>
      </c>
      <c r="K16">
        <f>IF($I16="","",IF(ISNUMBER($J16),$J16+MAX(-SETTINGS!$B$12,MIN(SETTINGS!$B$12,$I16-$J16)),$I16))</f>
        <v/>
      </c>
      <c r="O16">
        <f>IF($A16="","",IF(ISNUMBER($L16),$L16,IF($K16="","",$K16)))</f>
        <v/>
      </c>
      <c r="P16">
        <f>IF($A16="","",IF(ISNUMBER($L16),"OVERRIDE","MODEL"))</f>
        <v/>
      </c>
      <c r="Q16">
        <f>IF($A16="","",SETTINGS!$B$6)</f>
        <v/>
      </c>
      <c r="S16">
        <f>IF($A16="","",IF(ISNUMBER($R16),$R16,$Q16))</f>
        <v/>
      </c>
      <c r="W16">
        <f>IF($A16="","",SUMIFS(CLEAN!$AD$6:$AD$1005,CLEAN!$P$6:$P$1005,$A16)+SUMIFS(CLEAN!$AE$6:$AE$1005,CLEAN!$N$6:$N$1005,$A16))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MAP'!$C17)</f>
        <v/>
      </c>
      <c r="D17">
        <f>IF('TEAM MAP'!$A17="","",'TEAM MAP'!$E17)</f>
        <v/>
      </c>
      <c r="E17">
        <f>IF($A17="","",IF(ISNA(MATCH($A17,PRESEASON!$A$6:$A$143,0)),"",IF(INDEX(PRESEASON!$Z$6:$Z$143,MATCH($A17,PRESEASON!$A$6:$A$143,0))="","",INDEX(PRESEASON!$Z$6:$Z$143,MATCH($A17,PRESEASON!$A$6:$A$143,0)))))</f>
        <v/>
      </c>
      <c r="F17">
        <f>IF($A17="","",SUMIFS(CLEAN!$AB$6:$AB$1005,CLEAN!$P$6:$P$1005,$A17)+SUMIFS(CLEAN!$AC$6:$AC$1005,CLEAN!$N$6:$N$1005,$A17))</f>
        <v/>
      </c>
      <c r="G17">
        <f>IF(OR($A17="",$F17=""),"",IF(MIN($F17,9)&gt;=9,SETTINGS!$C$46,INDEX(SETTINGS!$C$37:$C$46,INT(MIN($F17,9))+1)+(MIN($F17,9)-INT(MIN($F17,9)))*(INDEX(SETTINGS!$C$37:$C$46,INT(MIN($F17,9))+2)-INDEX(SETTINGS!$C$37:$C$46,INT(MIN($F17,9))+1))))</f>
        <v/>
      </c>
      <c r="H17">
        <f>IF($A17="","",IF(ISNA(MATCH($A17,CALC!$A$6:$A$143,0)),"",IF(INDEX(CALC!$H$6:$H$143,MATCH($A17,CALC!$A$6:$A$143,0))="","",INDEX(CALC!$H$6:$H$143,MATCH($A17,CALC!$A$6:$A$143,0)))))</f>
        <v/>
      </c>
      <c r="I17">
        <f>IF($E17="","",IF(OR($H17="",$F17=0,$F17=""),$E17,$G17*$E17+(1-$G17)*$H17))</f>
        <v/>
      </c>
      <c r="J17">
        <f>IF(OR($A17="",SETTINGS!$B$4="",SETTINGS!$B$4&lt;=1),"",IF(COUNTIFS(HISTORY!$A$6:$A$3005,SETTINGS!$B$4-1,HISTORY!$B$6:$B$3005,$A17)=1,SUMIFS(HISTORY!$C$6:$C$3005,HISTORY!$A$6:$A$3005,SETTINGS!$B$4-1,HISTORY!$B$6:$B$3005,$A17),""))</f>
        <v/>
      </c>
      <c r="K17">
        <f>IF($I17="","",IF(ISNUMBER($J17),$J17+MAX(-SETTINGS!$B$12,MIN(SETTINGS!$B$12,$I17-$J17)),$I17))</f>
        <v/>
      </c>
      <c r="O17">
        <f>IF($A17="","",IF(ISNUMBER($L17),$L17,IF($K17="","",$K17)))</f>
        <v/>
      </c>
      <c r="P17">
        <f>IF($A17="","",IF(ISNUMBER($L17),"OVERRIDE","MODEL"))</f>
        <v/>
      </c>
      <c r="Q17">
        <f>IF($A17="","",SETTINGS!$B$6)</f>
        <v/>
      </c>
      <c r="S17">
        <f>IF($A17="","",IF(ISNUMBER($R17),$R17,$Q17))</f>
        <v/>
      </c>
      <c r="W17">
        <f>IF($A17="","",SUMIFS(CLEAN!$AD$6:$AD$1005,CLEAN!$P$6:$P$1005,$A17)+SUMIFS(CLEAN!$AE$6:$AE$1005,CLEAN!$N$6:$N$1005,$A17))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MAP'!$C18)</f>
        <v/>
      </c>
      <c r="D18">
        <f>IF('TEAM MAP'!$A18="","",'TEAM MAP'!$E18)</f>
        <v/>
      </c>
      <c r="E18">
        <f>IF($A18="","",IF(ISNA(MATCH($A18,PRESEASON!$A$6:$A$143,0)),"",IF(INDEX(PRESEASON!$Z$6:$Z$143,MATCH($A18,PRESEASON!$A$6:$A$143,0))="","",INDEX(PRESEASON!$Z$6:$Z$143,MATCH($A18,PRESEASON!$A$6:$A$143,0)))))</f>
        <v/>
      </c>
      <c r="F18">
        <f>IF($A18="","",SUMIFS(CLEAN!$AB$6:$AB$1005,CLEAN!$P$6:$P$1005,$A18)+SUMIFS(CLEAN!$AC$6:$AC$1005,CLEAN!$N$6:$N$1005,$A18))</f>
        <v/>
      </c>
      <c r="G18">
        <f>IF(OR($A18="",$F18=""),"",IF(MIN($F18,9)&gt;=9,SETTINGS!$C$46,INDEX(SETTINGS!$C$37:$C$46,INT(MIN($F18,9))+1)+(MIN($F18,9)-INT(MIN($F18,9)))*(INDEX(SETTINGS!$C$37:$C$46,INT(MIN($F18,9))+2)-INDEX(SETTINGS!$C$37:$C$46,INT(MIN($F18,9))+1))))</f>
        <v/>
      </c>
      <c r="H18">
        <f>IF($A18="","",IF(ISNA(MATCH($A18,CALC!$A$6:$A$143,0)),"",IF(INDEX(CALC!$H$6:$H$143,MATCH($A18,CALC!$A$6:$A$143,0))="","",INDEX(CALC!$H$6:$H$143,MATCH($A18,CALC!$A$6:$A$143,0)))))</f>
        <v/>
      </c>
      <c r="I18">
        <f>IF($E18="","",IF(OR($H18="",$F18=0,$F18=""),$E18,$G18*$E18+(1-$G18)*$H18))</f>
        <v/>
      </c>
      <c r="J18">
        <f>IF(OR($A18="",SETTINGS!$B$4="",SETTINGS!$B$4&lt;=1),"",IF(COUNTIFS(HISTORY!$A$6:$A$3005,SETTINGS!$B$4-1,HISTORY!$B$6:$B$3005,$A18)=1,SUMIFS(HISTORY!$C$6:$C$3005,HISTORY!$A$6:$A$3005,SETTINGS!$B$4-1,HISTORY!$B$6:$B$3005,$A18),""))</f>
        <v/>
      </c>
      <c r="K18">
        <f>IF($I18="","",IF(ISNUMBER($J18),$J18+MAX(-SETTINGS!$B$12,MIN(SETTINGS!$B$12,$I18-$J18)),$I18))</f>
        <v/>
      </c>
      <c r="O18">
        <f>IF($A18="","",IF(ISNUMBER($L18),$L18,IF($K18="","",$K18)))</f>
        <v/>
      </c>
      <c r="P18">
        <f>IF($A18="","",IF(ISNUMBER($L18),"OVERRIDE","MODEL"))</f>
        <v/>
      </c>
      <c r="Q18">
        <f>IF($A18="","",SETTINGS!$B$6)</f>
        <v/>
      </c>
      <c r="S18">
        <f>IF($A18="","",IF(ISNUMBER($R18),$R18,$Q18))</f>
        <v/>
      </c>
      <c r="W18">
        <f>IF($A18="","",SUMIFS(CLEAN!$AD$6:$AD$1005,CLEAN!$P$6:$P$1005,$A18)+SUMIFS(CLEAN!$AE$6:$AE$1005,CLEAN!$N$6:$N$1005,$A18))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MAP'!$C19)</f>
        <v/>
      </c>
      <c r="D19">
        <f>IF('TEAM MAP'!$A19="","",'TEAM MAP'!$E19)</f>
        <v/>
      </c>
      <c r="E19">
        <f>IF($A19="","",IF(ISNA(MATCH($A19,PRESEASON!$A$6:$A$143,0)),"",IF(INDEX(PRESEASON!$Z$6:$Z$143,MATCH($A19,PRESEASON!$A$6:$A$143,0))="","",INDEX(PRESEASON!$Z$6:$Z$143,MATCH($A19,PRESEASON!$A$6:$A$143,0)))))</f>
        <v/>
      </c>
      <c r="F19">
        <f>IF($A19="","",SUMIFS(CLEAN!$AB$6:$AB$1005,CLEAN!$P$6:$P$1005,$A19)+SUMIFS(CLEAN!$AC$6:$AC$1005,CLEAN!$N$6:$N$1005,$A19))</f>
        <v/>
      </c>
      <c r="G19">
        <f>IF(OR($A19="",$F19=""),"",IF(MIN($F19,9)&gt;=9,SETTINGS!$C$46,INDEX(SETTINGS!$C$37:$C$46,INT(MIN($F19,9))+1)+(MIN($F19,9)-INT(MIN($F19,9)))*(INDEX(SETTINGS!$C$37:$C$46,INT(MIN($F19,9))+2)-INDEX(SETTINGS!$C$37:$C$46,INT(MIN($F19,9))+1))))</f>
        <v/>
      </c>
      <c r="H19">
        <f>IF($A19="","",IF(ISNA(MATCH($A19,CALC!$A$6:$A$143,0)),"",IF(INDEX(CALC!$H$6:$H$143,MATCH($A19,CALC!$A$6:$A$143,0))="","",INDEX(CALC!$H$6:$H$143,MATCH($A19,CALC!$A$6:$A$143,0)))))</f>
        <v/>
      </c>
      <c r="I19">
        <f>IF($E19="","",IF(OR($H19="",$F19=0,$F19=""),$E19,$G19*$E19+(1-$G19)*$H19))</f>
        <v/>
      </c>
      <c r="J19">
        <f>IF(OR($A19="",SETTINGS!$B$4="",SETTINGS!$B$4&lt;=1),"",IF(COUNTIFS(HISTORY!$A$6:$A$3005,SETTINGS!$B$4-1,HISTORY!$B$6:$B$3005,$A19)=1,SUMIFS(HISTORY!$C$6:$C$3005,HISTORY!$A$6:$A$3005,SETTINGS!$B$4-1,HISTORY!$B$6:$B$3005,$A19),""))</f>
        <v/>
      </c>
      <c r="K19">
        <f>IF($I19="","",IF(ISNUMBER($J19),$J19+MAX(-SETTINGS!$B$12,MIN(SETTINGS!$B$12,$I19-$J19)),$I19))</f>
        <v/>
      </c>
      <c r="O19">
        <f>IF($A19="","",IF(ISNUMBER($L19),$L19,IF($K19="","",$K19)))</f>
        <v/>
      </c>
      <c r="P19">
        <f>IF($A19="","",IF(ISNUMBER($L19),"OVERRIDE","MODEL"))</f>
        <v/>
      </c>
      <c r="Q19">
        <f>IF($A19="","",SETTINGS!$B$6)</f>
        <v/>
      </c>
      <c r="S19">
        <f>IF($A19="","",IF(ISNUMBER($R19),$R19,$Q19))</f>
        <v/>
      </c>
      <c r="W19">
        <f>IF($A19="","",SUMIFS(CLEAN!$AD$6:$AD$1005,CLEAN!$P$6:$P$1005,$A19)+SUMIFS(CLEAN!$AE$6:$AE$1005,CLEAN!$N$6:$N$1005,$A19))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MAP'!$C20)</f>
        <v/>
      </c>
      <c r="D20">
        <f>IF('TEAM MAP'!$A20="","",'TEAM MAP'!$E20)</f>
        <v/>
      </c>
      <c r="E20">
        <f>IF($A20="","",IF(ISNA(MATCH($A20,PRESEASON!$A$6:$A$143,0)),"",IF(INDEX(PRESEASON!$Z$6:$Z$143,MATCH($A20,PRESEASON!$A$6:$A$143,0))="","",INDEX(PRESEASON!$Z$6:$Z$143,MATCH($A20,PRESEASON!$A$6:$A$143,0)))))</f>
        <v/>
      </c>
      <c r="F20">
        <f>IF($A20="","",SUMIFS(CLEAN!$AB$6:$AB$1005,CLEAN!$P$6:$P$1005,$A20)+SUMIFS(CLEAN!$AC$6:$AC$1005,CLEAN!$N$6:$N$1005,$A20))</f>
        <v/>
      </c>
      <c r="G20">
        <f>IF(OR($A20="",$F20=""),"",IF(MIN($F20,9)&gt;=9,SETTINGS!$C$46,INDEX(SETTINGS!$C$37:$C$46,INT(MIN($F20,9))+1)+(MIN($F20,9)-INT(MIN($F20,9)))*(INDEX(SETTINGS!$C$37:$C$46,INT(MIN($F20,9))+2)-INDEX(SETTINGS!$C$37:$C$46,INT(MIN($F20,9))+1))))</f>
        <v/>
      </c>
      <c r="H20">
        <f>IF($A20="","",IF(ISNA(MATCH($A20,CALC!$A$6:$A$143,0)),"",IF(INDEX(CALC!$H$6:$H$143,MATCH($A20,CALC!$A$6:$A$143,0))="","",INDEX(CALC!$H$6:$H$143,MATCH($A20,CALC!$A$6:$A$143,0)))))</f>
        <v/>
      </c>
      <c r="I20">
        <f>IF($E20="","",IF(OR($H20="",$F20=0,$F20=""),$E20,$G20*$E20+(1-$G20)*$H20))</f>
        <v/>
      </c>
      <c r="J20">
        <f>IF(OR($A20="",SETTINGS!$B$4="",SETTINGS!$B$4&lt;=1),"",IF(COUNTIFS(HISTORY!$A$6:$A$3005,SETTINGS!$B$4-1,HISTORY!$B$6:$B$3005,$A20)=1,SUMIFS(HISTORY!$C$6:$C$3005,HISTORY!$A$6:$A$3005,SETTINGS!$B$4-1,HISTORY!$B$6:$B$3005,$A20),""))</f>
        <v/>
      </c>
      <c r="K20">
        <f>IF($I20="","",IF(ISNUMBER($J20),$J20+MAX(-SETTINGS!$B$12,MIN(SETTINGS!$B$12,$I20-$J20)),$I20))</f>
        <v/>
      </c>
      <c r="O20">
        <f>IF($A20="","",IF(ISNUMBER($L20),$L20,IF($K20="","",$K20)))</f>
        <v/>
      </c>
      <c r="P20">
        <f>IF($A20="","",IF(ISNUMBER($L20),"OVERRIDE","MODEL"))</f>
        <v/>
      </c>
      <c r="Q20">
        <f>IF($A20="","",SETTINGS!$B$6)</f>
        <v/>
      </c>
      <c r="S20">
        <f>IF($A20="","",IF(ISNUMBER($R20),$R20,$Q20))</f>
        <v/>
      </c>
      <c r="W20">
        <f>IF($A20="","",SUMIFS(CLEAN!$AD$6:$AD$1005,CLEAN!$P$6:$P$1005,$A20)+SUMIFS(CLEAN!$AE$6:$AE$1005,CLEAN!$N$6:$N$1005,$A20))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MAP'!$C21)</f>
        <v/>
      </c>
      <c r="D21">
        <f>IF('TEAM MAP'!$A21="","",'TEAM MAP'!$E21)</f>
        <v/>
      </c>
      <c r="E21">
        <f>IF($A21="","",IF(ISNA(MATCH($A21,PRESEASON!$A$6:$A$143,0)),"",IF(INDEX(PRESEASON!$Z$6:$Z$143,MATCH($A21,PRESEASON!$A$6:$A$143,0))="","",INDEX(PRESEASON!$Z$6:$Z$143,MATCH($A21,PRESEASON!$A$6:$A$143,0)))))</f>
        <v/>
      </c>
      <c r="F21">
        <f>IF($A21="","",SUMIFS(CLEAN!$AB$6:$AB$1005,CLEAN!$P$6:$P$1005,$A21)+SUMIFS(CLEAN!$AC$6:$AC$1005,CLEAN!$N$6:$N$1005,$A21))</f>
        <v/>
      </c>
      <c r="G21">
        <f>IF(OR($A21="",$F21=""),"",IF(MIN($F21,9)&gt;=9,SETTINGS!$C$46,INDEX(SETTINGS!$C$37:$C$46,INT(MIN($F21,9))+1)+(MIN($F21,9)-INT(MIN($F21,9)))*(INDEX(SETTINGS!$C$37:$C$46,INT(MIN($F21,9))+2)-INDEX(SETTINGS!$C$37:$C$46,INT(MIN($F21,9))+1))))</f>
        <v/>
      </c>
      <c r="H21">
        <f>IF($A21="","",IF(ISNA(MATCH($A21,CALC!$A$6:$A$143,0)),"",IF(INDEX(CALC!$H$6:$H$143,MATCH($A21,CALC!$A$6:$A$143,0))="","",INDEX(CALC!$H$6:$H$143,MATCH($A21,CALC!$A$6:$A$143,0)))))</f>
        <v/>
      </c>
      <c r="I21">
        <f>IF($E21="","",IF(OR($H21="",$F21=0,$F21=""),$E21,$G21*$E21+(1-$G21)*$H21))</f>
        <v/>
      </c>
      <c r="J21">
        <f>IF(OR($A21="",SETTINGS!$B$4="",SETTINGS!$B$4&lt;=1),"",IF(COUNTIFS(HISTORY!$A$6:$A$3005,SETTINGS!$B$4-1,HISTORY!$B$6:$B$3005,$A21)=1,SUMIFS(HISTORY!$C$6:$C$3005,HISTORY!$A$6:$A$3005,SETTINGS!$B$4-1,HISTORY!$B$6:$B$3005,$A21),""))</f>
        <v/>
      </c>
      <c r="K21">
        <f>IF($I21="","",IF(ISNUMBER($J21),$J21+MAX(-SETTINGS!$B$12,MIN(SETTINGS!$B$12,$I21-$J21)),$I21))</f>
        <v/>
      </c>
      <c r="O21">
        <f>IF($A21="","",IF(ISNUMBER($L21),$L21,IF($K21="","",$K21)))</f>
        <v/>
      </c>
      <c r="P21">
        <f>IF($A21="","",IF(ISNUMBER($L21),"OVERRIDE","MODEL"))</f>
        <v/>
      </c>
      <c r="Q21">
        <f>IF($A21="","",SETTINGS!$B$6)</f>
        <v/>
      </c>
      <c r="S21">
        <f>IF($A21="","",IF(ISNUMBER($R21),$R21,$Q21))</f>
        <v/>
      </c>
      <c r="W21">
        <f>IF($A21="","",SUMIFS(CLEAN!$AD$6:$AD$1005,CLEAN!$P$6:$P$1005,$A21)+SUMIFS(CLEAN!$AE$6:$AE$1005,CLEAN!$N$6:$N$1005,$A21))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MAP'!$C22)</f>
        <v/>
      </c>
      <c r="D22">
        <f>IF('TEAM MAP'!$A22="","",'TEAM MAP'!$E22)</f>
        <v/>
      </c>
      <c r="E22">
        <f>IF($A22="","",IF(ISNA(MATCH($A22,PRESEASON!$A$6:$A$143,0)),"",IF(INDEX(PRESEASON!$Z$6:$Z$143,MATCH($A22,PRESEASON!$A$6:$A$143,0))="","",INDEX(PRESEASON!$Z$6:$Z$143,MATCH($A22,PRESEASON!$A$6:$A$143,0)))))</f>
        <v/>
      </c>
      <c r="F22">
        <f>IF($A22="","",SUMIFS(CLEAN!$AB$6:$AB$1005,CLEAN!$P$6:$P$1005,$A22)+SUMIFS(CLEAN!$AC$6:$AC$1005,CLEAN!$N$6:$N$1005,$A22))</f>
        <v/>
      </c>
      <c r="G22">
        <f>IF(OR($A22="",$F22=""),"",IF(MIN($F22,9)&gt;=9,SETTINGS!$C$46,INDEX(SETTINGS!$C$37:$C$46,INT(MIN($F22,9))+1)+(MIN($F22,9)-INT(MIN($F22,9)))*(INDEX(SETTINGS!$C$37:$C$46,INT(MIN($F22,9))+2)-INDEX(SETTINGS!$C$37:$C$46,INT(MIN($F22,9))+1))))</f>
        <v/>
      </c>
      <c r="H22">
        <f>IF($A22="","",IF(ISNA(MATCH($A22,CALC!$A$6:$A$143,0)),"",IF(INDEX(CALC!$H$6:$H$143,MATCH($A22,CALC!$A$6:$A$143,0))="","",INDEX(CALC!$H$6:$H$143,MATCH($A22,CALC!$A$6:$A$143,0)))))</f>
        <v/>
      </c>
      <c r="I22">
        <f>IF($E22="","",IF(OR($H22="",$F22=0,$F22=""),$E22,$G22*$E22+(1-$G22)*$H22))</f>
        <v/>
      </c>
      <c r="J22">
        <f>IF(OR($A22="",SETTINGS!$B$4="",SETTINGS!$B$4&lt;=1),"",IF(COUNTIFS(HISTORY!$A$6:$A$3005,SETTINGS!$B$4-1,HISTORY!$B$6:$B$3005,$A22)=1,SUMIFS(HISTORY!$C$6:$C$3005,HISTORY!$A$6:$A$3005,SETTINGS!$B$4-1,HISTORY!$B$6:$B$3005,$A22),""))</f>
        <v/>
      </c>
      <c r="K22">
        <f>IF($I22="","",IF(ISNUMBER($J22),$J22+MAX(-SETTINGS!$B$12,MIN(SETTINGS!$B$12,$I22-$J22)),$I22))</f>
        <v/>
      </c>
      <c r="O22">
        <f>IF($A22="","",IF(ISNUMBER($L22),$L22,IF($K22="","",$K22)))</f>
        <v/>
      </c>
      <c r="P22">
        <f>IF($A22="","",IF(ISNUMBER($L22),"OVERRIDE","MODEL"))</f>
        <v/>
      </c>
      <c r="Q22">
        <f>IF($A22="","",SETTINGS!$B$6)</f>
        <v/>
      </c>
      <c r="S22">
        <f>IF($A22="","",IF(ISNUMBER($R22),$R22,$Q22))</f>
        <v/>
      </c>
      <c r="W22">
        <f>IF($A22="","",SUMIFS(CLEAN!$AD$6:$AD$1005,CLEAN!$P$6:$P$1005,$A22)+SUMIFS(CLEAN!$AE$6:$AE$1005,CLEAN!$N$6:$N$1005,$A22))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MAP'!$C23)</f>
        <v/>
      </c>
      <c r="D23">
        <f>IF('TEAM MAP'!$A23="","",'TEAM MAP'!$E23)</f>
        <v/>
      </c>
      <c r="E23">
        <f>IF($A23="","",IF(ISNA(MATCH($A23,PRESEASON!$A$6:$A$143,0)),"",IF(INDEX(PRESEASON!$Z$6:$Z$143,MATCH($A23,PRESEASON!$A$6:$A$143,0))="","",INDEX(PRESEASON!$Z$6:$Z$143,MATCH($A23,PRESEASON!$A$6:$A$143,0)))))</f>
        <v/>
      </c>
      <c r="F23">
        <f>IF($A23="","",SUMIFS(CLEAN!$AB$6:$AB$1005,CLEAN!$P$6:$P$1005,$A23)+SUMIFS(CLEAN!$AC$6:$AC$1005,CLEAN!$N$6:$N$1005,$A23))</f>
        <v/>
      </c>
      <c r="G23">
        <f>IF(OR($A23="",$F23=""),"",IF(MIN($F23,9)&gt;=9,SETTINGS!$C$46,INDEX(SETTINGS!$C$37:$C$46,INT(MIN($F23,9))+1)+(MIN($F23,9)-INT(MIN($F23,9)))*(INDEX(SETTINGS!$C$37:$C$46,INT(MIN($F23,9))+2)-INDEX(SETTINGS!$C$37:$C$46,INT(MIN($F23,9))+1))))</f>
        <v/>
      </c>
      <c r="H23">
        <f>IF($A23="","",IF(ISNA(MATCH($A23,CALC!$A$6:$A$143,0)),"",IF(INDEX(CALC!$H$6:$H$143,MATCH($A23,CALC!$A$6:$A$143,0))="","",INDEX(CALC!$H$6:$H$143,MATCH($A23,CALC!$A$6:$A$143,0)))))</f>
        <v/>
      </c>
      <c r="I23">
        <f>IF($E23="","",IF(OR($H23="",$F23=0,$F23=""),$E23,$G23*$E23+(1-$G23)*$H23))</f>
        <v/>
      </c>
      <c r="J23">
        <f>IF(OR($A23="",SETTINGS!$B$4="",SETTINGS!$B$4&lt;=1),"",IF(COUNTIFS(HISTORY!$A$6:$A$3005,SETTINGS!$B$4-1,HISTORY!$B$6:$B$3005,$A23)=1,SUMIFS(HISTORY!$C$6:$C$3005,HISTORY!$A$6:$A$3005,SETTINGS!$B$4-1,HISTORY!$B$6:$B$3005,$A23),""))</f>
        <v/>
      </c>
      <c r="K23">
        <f>IF($I23="","",IF(ISNUMBER($J23),$J23+MAX(-SETTINGS!$B$12,MIN(SETTINGS!$B$12,$I23-$J23)),$I23))</f>
        <v/>
      </c>
      <c r="O23">
        <f>IF($A23="","",IF(ISNUMBER($L23),$L23,IF($K23="","",$K23)))</f>
        <v/>
      </c>
      <c r="P23">
        <f>IF($A23="","",IF(ISNUMBER($L23),"OVERRIDE","MODEL"))</f>
        <v/>
      </c>
      <c r="Q23">
        <f>IF($A23="","",SETTINGS!$B$6)</f>
        <v/>
      </c>
      <c r="S23">
        <f>IF($A23="","",IF(ISNUMBER($R23),$R23,$Q23))</f>
        <v/>
      </c>
      <c r="W23">
        <f>IF($A23="","",SUMIFS(CLEAN!$AD$6:$AD$1005,CLEAN!$P$6:$P$1005,$A23)+SUMIFS(CLEAN!$AE$6:$AE$1005,CLEAN!$N$6:$N$1005,$A23))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MAP'!$C24)</f>
        <v/>
      </c>
      <c r="D24">
        <f>IF('TEAM MAP'!$A24="","",'TEAM MAP'!$E24)</f>
        <v/>
      </c>
      <c r="E24">
        <f>IF($A24="","",IF(ISNA(MATCH($A24,PRESEASON!$A$6:$A$143,0)),"",IF(INDEX(PRESEASON!$Z$6:$Z$143,MATCH($A24,PRESEASON!$A$6:$A$143,0))="","",INDEX(PRESEASON!$Z$6:$Z$143,MATCH($A24,PRESEASON!$A$6:$A$143,0)))))</f>
        <v/>
      </c>
      <c r="F24">
        <f>IF($A24="","",SUMIFS(CLEAN!$AB$6:$AB$1005,CLEAN!$P$6:$P$1005,$A24)+SUMIFS(CLEAN!$AC$6:$AC$1005,CLEAN!$N$6:$N$1005,$A24))</f>
        <v/>
      </c>
      <c r="G24">
        <f>IF(OR($A24="",$F24=""),"",IF(MIN($F24,9)&gt;=9,SETTINGS!$C$46,INDEX(SETTINGS!$C$37:$C$46,INT(MIN($F24,9))+1)+(MIN($F24,9)-INT(MIN($F24,9)))*(INDEX(SETTINGS!$C$37:$C$46,INT(MIN($F24,9))+2)-INDEX(SETTINGS!$C$37:$C$46,INT(MIN($F24,9))+1))))</f>
        <v/>
      </c>
      <c r="H24">
        <f>IF($A24="","",IF(ISNA(MATCH($A24,CALC!$A$6:$A$143,0)),"",IF(INDEX(CALC!$H$6:$H$143,MATCH($A24,CALC!$A$6:$A$143,0))="","",INDEX(CALC!$H$6:$H$143,MATCH($A24,CALC!$A$6:$A$143,0)))))</f>
        <v/>
      </c>
      <c r="I24">
        <f>IF($E24="","",IF(OR($H24="",$F24=0,$F24=""),$E24,$G24*$E24+(1-$G24)*$H24))</f>
        <v/>
      </c>
      <c r="J24">
        <f>IF(OR($A24="",SETTINGS!$B$4="",SETTINGS!$B$4&lt;=1),"",IF(COUNTIFS(HISTORY!$A$6:$A$3005,SETTINGS!$B$4-1,HISTORY!$B$6:$B$3005,$A24)=1,SUMIFS(HISTORY!$C$6:$C$3005,HISTORY!$A$6:$A$3005,SETTINGS!$B$4-1,HISTORY!$B$6:$B$3005,$A24),""))</f>
        <v/>
      </c>
      <c r="K24">
        <f>IF($I24="","",IF(ISNUMBER($J24),$J24+MAX(-SETTINGS!$B$12,MIN(SETTINGS!$B$12,$I24-$J24)),$I24))</f>
        <v/>
      </c>
      <c r="O24">
        <f>IF($A24="","",IF(ISNUMBER($L24),$L24,IF($K24="","",$K24)))</f>
        <v/>
      </c>
      <c r="P24">
        <f>IF($A24="","",IF(ISNUMBER($L24),"OVERRIDE","MODEL"))</f>
        <v/>
      </c>
      <c r="Q24">
        <f>IF($A24="","",SETTINGS!$B$6)</f>
        <v/>
      </c>
      <c r="S24">
        <f>IF($A24="","",IF(ISNUMBER($R24),$R24,$Q24))</f>
        <v/>
      </c>
      <c r="W24">
        <f>IF($A24="","",SUMIFS(CLEAN!$AD$6:$AD$1005,CLEAN!$P$6:$P$1005,$A24)+SUMIFS(CLEAN!$AE$6:$AE$1005,CLEAN!$N$6:$N$1005,$A24))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MAP'!$C25)</f>
        <v/>
      </c>
      <c r="D25">
        <f>IF('TEAM MAP'!$A25="","",'TEAM MAP'!$E25)</f>
        <v/>
      </c>
      <c r="E25">
        <f>IF($A25="","",IF(ISNA(MATCH($A25,PRESEASON!$A$6:$A$143,0)),"",IF(INDEX(PRESEASON!$Z$6:$Z$143,MATCH($A25,PRESEASON!$A$6:$A$143,0))="","",INDEX(PRESEASON!$Z$6:$Z$143,MATCH($A25,PRESEASON!$A$6:$A$143,0)))))</f>
        <v/>
      </c>
      <c r="F25">
        <f>IF($A25="","",SUMIFS(CLEAN!$AB$6:$AB$1005,CLEAN!$P$6:$P$1005,$A25)+SUMIFS(CLEAN!$AC$6:$AC$1005,CLEAN!$N$6:$N$1005,$A25))</f>
        <v/>
      </c>
      <c r="G25">
        <f>IF(OR($A25="",$F25=""),"",IF(MIN($F25,9)&gt;=9,SETTINGS!$C$46,INDEX(SETTINGS!$C$37:$C$46,INT(MIN($F25,9))+1)+(MIN($F25,9)-INT(MIN($F25,9)))*(INDEX(SETTINGS!$C$37:$C$46,INT(MIN($F25,9))+2)-INDEX(SETTINGS!$C$37:$C$46,INT(MIN($F25,9))+1))))</f>
        <v/>
      </c>
      <c r="H25">
        <f>IF($A25="","",IF(ISNA(MATCH($A25,CALC!$A$6:$A$143,0)),"",IF(INDEX(CALC!$H$6:$H$143,MATCH($A25,CALC!$A$6:$A$143,0))="","",INDEX(CALC!$H$6:$H$143,MATCH($A25,CALC!$A$6:$A$143,0)))))</f>
        <v/>
      </c>
      <c r="I25">
        <f>IF($E25="","",IF(OR($H25="",$F25=0,$F25=""),$E25,$G25*$E25+(1-$G25)*$H25))</f>
        <v/>
      </c>
      <c r="J25">
        <f>IF(OR($A25="",SETTINGS!$B$4="",SETTINGS!$B$4&lt;=1),"",IF(COUNTIFS(HISTORY!$A$6:$A$3005,SETTINGS!$B$4-1,HISTORY!$B$6:$B$3005,$A25)=1,SUMIFS(HISTORY!$C$6:$C$3005,HISTORY!$A$6:$A$3005,SETTINGS!$B$4-1,HISTORY!$B$6:$B$3005,$A25),""))</f>
        <v/>
      </c>
      <c r="K25">
        <f>IF($I25="","",IF(ISNUMBER($J25),$J25+MAX(-SETTINGS!$B$12,MIN(SETTINGS!$B$12,$I25-$J25)),$I25))</f>
        <v/>
      </c>
      <c r="O25">
        <f>IF($A25="","",IF(ISNUMBER($L25),$L25,IF($K25="","",$K25)))</f>
        <v/>
      </c>
      <c r="P25">
        <f>IF($A25="","",IF(ISNUMBER($L25),"OVERRIDE","MODEL"))</f>
        <v/>
      </c>
      <c r="Q25">
        <f>IF($A25="","",SETTINGS!$B$6)</f>
        <v/>
      </c>
      <c r="S25">
        <f>IF($A25="","",IF(ISNUMBER($R25),$R25,$Q25))</f>
        <v/>
      </c>
      <c r="W25">
        <f>IF($A25="","",SUMIFS(CLEAN!$AD$6:$AD$1005,CLEAN!$P$6:$P$1005,$A25)+SUMIFS(CLEAN!$AE$6:$AE$1005,CLEAN!$N$6:$N$1005,$A25))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MAP'!$C26)</f>
        <v/>
      </c>
      <c r="D26">
        <f>IF('TEAM MAP'!$A26="","",'TEAM MAP'!$E26)</f>
        <v/>
      </c>
      <c r="E26">
        <f>IF($A26="","",IF(ISNA(MATCH($A26,PRESEASON!$A$6:$A$143,0)),"",IF(INDEX(PRESEASON!$Z$6:$Z$143,MATCH($A26,PRESEASON!$A$6:$A$143,0))="","",INDEX(PRESEASON!$Z$6:$Z$143,MATCH($A26,PRESEASON!$A$6:$A$143,0)))))</f>
        <v/>
      </c>
      <c r="F26">
        <f>IF($A26="","",SUMIFS(CLEAN!$AB$6:$AB$1005,CLEAN!$P$6:$P$1005,$A26)+SUMIFS(CLEAN!$AC$6:$AC$1005,CLEAN!$N$6:$N$1005,$A26))</f>
        <v/>
      </c>
      <c r="G26">
        <f>IF(OR($A26="",$F26=""),"",IF(MIN($F26,9)&gt;=9,SETTINGS!$C$46,INDEX(SETTINGS!$C$37:$C$46,INT(MIN($F26,9))+1)+(MIN($F26,9)-INT(MIN($F26,9)))*(INDEX(SETTINGS!$C$37:$C$46,INT(MIN($F26,9))+2)-INDEX(SETTINGS!$C$37:$C$46,INT(MIN($F26,9))+1))))</f>
        <v/>
      </c>
      <c r="H26">
        <f>IF($A26="","",IF(ISNA(MATCH($A26,CALC!$A$6:$A$143,0)),"",IF(INDEX(CALC!$H$6:$H$143,MATCH($A26,CALC!$A$6:$A$143,0))="","",INDEX(CALC!$H$6:$H$143,MATCH($A26,CALC!$A$6:$A$143,0)))))</f>
        <v/>
      </c>
      <c r="I26">
        <f>IF($E26="","",IF(OR($H26="",$F26=0,$F26=""),$E26,$G26*$E26+(1-$G26)*$H26))</f>
        <v/>
      </c>
      <c r="J26">
        <f>IF(OR($A26="",SETTINGS!$B$4="",SETTINGS!$B$4&lt;=1),"",IF(COUNTIFS(HISTORY!$A$6:$A$3005,SETTINGS!$B$4-1,HISTORY!$B$6:$B$3005,$A26)=1,SUMIFS(HISTORY!$C$6:$C$3005,HISTORY!$A$6:$A$3005,SETTINGS!$B$4-1,HISTORY!$B$6:$B$3005,$A26),""))</f>
        <v/>
      </c>
      <c r="K26">
        <f>IF($I26="","",IF(ISNUMBER($J26),$J26+MAX(-SETTINGS!$B$12,MIN(SETTINGS!$B$12,$I26-$J26)),$I26))</f>
        <v/>
      </c>
      <c r="O26">
        <f>IF($A26="","",IF(ISNUMBER($L26),$L26,IF($K26="","",$K26)))</f>
        <v/>
      </c>
      <c r="P26">
        <f>IF($A26="","",IF(ISNUMBER($L26),"OVERRIDE","MODEL"))</f>
        <v/>
      </c>
      <c r="Q26">
        <f>IF($A26="","",SETTINGS!$B$6)</f>
        <v/>
      </c>
      <c r="S26">
        <f>IF($A26="","",IF(ISNUMBER($R26),$R26,$Q26))</f>
        <v/>
      </c>
      <c r="W26">
        <f>IF($A26="","",SUMIFS(CLEAN!$AD$6:$AD$1005,CLEAN!$P$6:$P$1005,$A26)+SUMIFS(CLEAN!$AE$6:$AE$1005,CLEAN!$N$6:$N$1005,$A26))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MAP'!$C27)</f>
        <v/>
      </c>
      <c r="D27">
        <f>IF('TEAM MAP'!$A27="","",'TEAM MAP'!$E27)</f>
        <v/>
      </c>
      <c r="E27">
        <f>IF($A27="","",IF(ISNA(MATCH($A27,PRESEASON!$A$6:$A$143,0)),"",IF(INDEX(PRESEASON!$Z$6:$Z$143,MATCH($A27,PRESEASON!$A$6:$A$143,0))="","",INDEX(PRESEASON!$Z$6:$Z$143,MATCH($A27,PRESEASON!$A$6:$A$143,0)))))</f>
        <v/>
      </c>
      <c r="F27">
        <f>IF($A27="","",SUMIFS(CLEAN!$AB$6:$AB$1005,CLEAN!$P$6:$P$1005,$A27)+SUMIFS(CLEAN!$AC$6:$AC$1005,CLEAN!$N$6:$N$1005,$A27))</f>
        <v/>
      </c>
      <c r="G27">
        <f>IF(OR($A27="",$F27=""),"",IF(MIN($F27,9)&gt;=9,SETTINGS!$C$46,INDEX(SETTINGS!$C$37:$C$46,INT(MIN($F27,9))+1)+(MIN($F27,9)-INT(MIN($F27,9)))*(INDEX(SETTINGS!$C$37:$C$46,INT(MIN($F27,9))+2)-INDEX(SETTINGS!$C$37:$C$46,INT(MIN($F27,9))+1))))</f>
        <v/>
      </c>
      <c r="H27">
        <f>IF($A27="","",IF(ISNA(MATCH($A27,CALC!$A$6:$A$143,0)),"",IF(INDEX(CALC!$H$6:$H$143,MATCH($A27,CALC!$A$6:$A$143,0))="","",INDEX(CALC!$H$6:$H$143,MATCH($A27,CALC!$A$6:$A$143,0)))))</f>
        <v/>
      </c>
      <c r="I27">
        <f>IF($E27="","",IF(OR($H27="",$F27=0,$F27=""),$E27,$G27*$E27+(1-$G27)*$H27))</f>
        <v/>
      </c>
      <c r="J27">
        <f>IF(OR($A27="",SETTINGS!$B$4="",SETTINGS!$B$4&lt;=1),"",IF(COUNTIFS(HISTORY!$A$6:$A$3005,SETTINGS!$B$4-1,HISTORY!$B$6:$B$3005,$A27)=1,SUMIFS(HISTORY!$C$6:$C$3005,HISTORY!$A$6:$A$3005,SETTINGS!$B$4-1,HISTORY!$B$6:$B$3005,$A27),""))</f>
        <v/>
      </c>
      <c r="K27">
        <f>IF($I27="","",IF(ISNUMBER($J27),$J27+MAX(-SETTINGS!$B$12,MIN(SETTINGS!$B$12,$I27-$J27)),$I27))</f>
        <v/>
      </c>
      <c r="O27">
        <f>IF($A27="","",IF(ISNUMBER($L27),$L27,IF($K27="","",$K27)))</f>
        <v/>
      </c>
      <c r="P27">
        <f>IF($A27="","",IF(ISNUMBER($L27),"OVERRIDE","MODEL"))</f>
        <v/>
      </c>
      <c r="Q27">
        <f>IF($A27="","",SETTINGS!$B$6)</f>
        <v/>
      </c>
      <c r="S27">
        <f>IF($A27="","",IF(ISNUMBER($R27),$R27,$Q27))</f>
        <v/>
      </c>
      <c r="W27">
        <f>IF($A27="","",SUMIFS(CLEAN!$AD$6:$AD$1005,CLEAN!$P$6:$P$1005,$A27)+SUMIFS(CLEAN!$AE$6:$AE$1005,CLEAN!$N$6:$N$1005,$A27))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MAP'!$C28)</f>
        <v/>
      </c>
      <c r="D28">
        <f>IF('TEAM MAP'!$A28="","",'TEAM MAP'!$E28)</f>
        <v/>
      </c>
      <c r="E28">
        <f>IF($A28="","",IF(ISNA(MATCH($A28,PRESEASON!$A$6:$A$143,0)),"",IF(INDEX(PRESEASON!$Z$6:$Z$143,MATCH($A28,PRESEASON!$A$6:$A$143,0))="","",INDEX(PRESEASON!$Z$6:$Z$143,MATCH($A28,PRESEASON!$A$6:$A$143,0)))))</f>
        <v/>
      </c>
      <c r="F28">
        <f>IF($A28="","",SUMIFS(CLEAN!$AB$6:$AB$1005,CLEAN!$P$6:$P$1005,$A28)+SUMIFS(CLEAN!$AC$6:$AC$1005,CLEAN!$N$6:$N$1005,$A28))</f>
        <v/>
      </c>
      <c r="G28">
        <f>IF(OR($A28="",$F28=""),"",IF(MIN($F28,9)&gt;=9,SETTINGS!$C$46,INDEX(SETTINGS!$C$37:$C$46,INT(MIN($F28,9))+1)+(MIN($F28,9)-INT(MIN($F28,9)))*(INDEX(SETTINGS!$C$37:$C$46,INT(MIN($F28,9))+2)-INDEX(SETTINGS!$C$37:$C$46,INT(MIN($F28,9))+1))))</f>
        <v/>
      </c>
      <c r="H28">
        <f>IF($A28="","",IF(ISNA(MATCH($A28,CALC!$A$6:$A$143,0)),"",IF(INDEX(CALC!$H$6:$H$143,MATCH($A28,CALC!$A$6:$A$143,0))="","",INDEX(CALC!$H$6:$H$143,MATCH($A28,CALC!$A$6:$A$143,0)))))</f>
        <v/>
      </c>
      <c r="I28">
        <f>IF($E28="","",IF(OR($H28="",$F28=0,$F28=""),$E28,$G28*$E28+(1-$G28)*$H28))</f>
        <v/>
      </c>
      <c r="J28">
        <f>IF(OR($A28="",SETTINGS!$B$4="",SETTINGS!$B$4&lt;=1),"",IF(COUNTIFS(HISTORY!$A$6:$A$3005,SETTINGS!$B$4-1,HISTORY!$B$6:$B$3005,$A28)=1,SUMIFS(HISTORY!$C$6:$C$3005,HISTORY!$A$6:$A$3005,SETTINGS!$B$4-1,HISTORY!$B$6:$B$3005,$A28),""))</f>
        <v/>
      </c>
      <c r="K28">
        <f>IF($I28="","",IF(ISNUMBER($J28),$J28+MAX(-SETTINGS!$B$12,MIN(SETTINGS!$B$12,$I28-$J28)),$I28))</f>
        <v/>
      </c>
      <c r="O28">
        <f>IF($A28="","",IF(ISNUMBER($L28),$L28,IF($K28="","",$K28)))</f>
        <v/>
      </c>
      <c r="P28">
        <f>IF($A28="","",IF(ISNUMBER($L28),"OVERRIDE","MODEL"))</f>
        <v/>
      </c>
      <c r="Q28">
        <f>IF($A28="","",SETTINGS!$B$6)</f>
        <v/>
      </c>
      <c r="S28">
        <f>IF($A28="","",IF(ISNUMBER($R28),$R28,$Q28))</f>
        <v/>
      </c>
      <c r="W28">
        <f>IF($A28="","",SUMIFS(CLEAN!$AD$6:$AD$1005,CLEAN!$P$6:$P$1005,$A28)+SUMIFS(CLEAN!$AE$6:$AE$1005,CLEAN!$N$6:$N$1005,$A28))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MAP'!$C29)</f>
        <v/>
      </c>
      <c r="D29">
        <f>IF('TEAM MAP'!$A29="","",'TEAM MAP'!$E29)</f>
        <v/>
      </c>
      <c r="E29">
        <f>IF($A29="","",IF(ISNA(MATCH($A29,PRESEASON!$A$6:$A$143,0)),"",IF(INDEX(PRESEASON!$Z$6:$Z$143,MATCH($A29,PRESEASON!$A$6:$A$143,0))="","",INDEX(PRESEASON!$Z$6:$Z$143,MATCH($A29,PRESEASON!$A$6:$A$143,0)))))</f>
        <v/>
      </c>
      <c r="F29">
        <f>IF($A29="","",SUMIFS(CLEAN!$AB$6:$AB$1005,CLEAN!$P$6:$P$1005,$A29)+SUMIFS(CLEAN!$AC$6:$AC$1005,CLEAN!$N$6:$N$1005,$A29))</f>
        <v/>
      </c>
      <c r="G29">
        <f>IF(OR($A29="",$F29=""),"",IF(MIN($F29,9)&gt;=9,SETTINGS!$C$46,INDEX(SETTINGS!$C$37:$C$46,INT(MIN($F29,9))+1)+(MIN($F29,9)-INT(MIN($F29,9)))*(INDEX(SETTINGS!$C$37:$C$46,INT(MIN($F29,9))+2)-INDEX(SETTINGS!$C$37:$C$46,INT(MIN($F29,9))+1))))</f>
        <v/>
      </c>
      <c r="H29">
        <f>IF($A29="","",IF(ISNA(MATCH($A29,CALC!$A$6:$A$143,0)),"",IF(INDEX(CALC!$H$6:$H$143,MATCH($A29,CALC!$A$6:$A$143,0))="","",INDEX(CALC!$H$6:$H$143,MATCH($A29,CALC!$A$6:$A$143,0)))))</f>
        <v/>
      </c>
      <c r="I29">
        <f>IF($E29="","",IF(OR($H29="",$F29=0,$F29=""),$E29,$G29*$E29+(1-$G29)*$H29))</f>
        <v/>
      </c>
      <c r="J29">
        <f>IF(OR($A29="",SETTINGS!$B$4="",SETTINGS!$B$4&lt;=1),"",IF(COUNTIFS(HISTORY!$A$6:$A$3005,SETTINGS!$B$4-1,HISTORY!$B$6:$B$3005,$A29)=1,SUMIFS(HISTORY!$C$6:$C$3005,HISTORY!$A$6:$A$3005,SETTINGS!$B$4-1,HISTORY!$B$6:$B$3005,$A29),""))</f>
        <v/>
      </c>
      <c r="K29">
        <f>IF($I29="","",IF(ISNUMBER($J29),$J29+MAX(-SETTINGS!$B$12,MIN(SETTINGS!$B$12,$I29-$J29)),$I29))</f>
        <v/>
      </c>
      <c r="O29">
        <f>IF($A29="","",IF(ISNUMBER($L29),$L29,IF($K29="","",$K29)))</f>
        <v/>
      </c>
      <c r="P29">
        <f>IF($A29="","",IF(ISNUMBER($L29),"OVERRIDE","MODEL"))</f>
        <v/>
      </c>
      <c r="Q29">
        <f>IF($A29="","",SETTINGS!$B$6)</f>
        <v/>
      </c>
      <c r="S29">
        <f>IF($A29="","",IF(ISNUMBER($R29),$R29,$Q29))</f>
        <v/>
      </c>
      <c r="W29">
        <f>IF($A29="","",SUMIFS(CLEAN!$AD$6:$AD$1005,CLEAN!$P$6:$P$1005,$A29)+SUMIFS(CLEAN!$AE$6:$AE$1005,CLEAN!$N$6:$N$1005,$A29))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MAP'!$C30)</f>
        <v/>
      </c>
      <c r="D30">
        <f>IF('TEAM MAP'!$A30="","",'TEAM MAP'!$E30)</f>
        <v/>
      </c>
      <c r="E30">
        <f>IF($A30="","",IF(ISNA(MATCH($A30,PRESEASON!$A$6:$A$143,0)),"",IF(INDEX(PRESEASON!$Z$6:$Z$143,MATCH($A30,PRESEASON!$A$6:$A$143,0))="","",INDEX(PRESEASON!$Z$6:$Z$143,MATCH($A30,PRESEASON!$A$6:$A$143,0)))))</f>
        <v/>
      </c>
      <c r="F30">
        <f>IF($A30="","",SUMIFS(CLEAN!$AB$6:$AB$1005,CLEAN!$P$6:$P$1005,$A30)+SUMIFS(CLEAN!$AC$6:$AC$1005,CLEAN!$N$6:$N$1005,$A30))</f>
        <v/>
      </c>
      <c r="G30">
        <f>IF(OR($A30="",$F30=""),"",IF(MIN($F30,9)&gt;=9,SETTINGS!$C$46,INDEX(SETTINGS!$C$37:$C$46,INT(MIN($F30,9))+1)+(MIN($F30,9)-INT(MIN($F30,9)))*(INDEX(SETTINGS!$C$37:$C$46,INT(MIN($F30,9))+2)-INDEX(SETTINGS!$C$37:$C$46,INT(MIN($F30,9))+1))))</f>
        <v/>
      </c>
      <c r="H30">
        <f>IF($A30="","",IF(ISNA(MATCH($A30,CALC!$A$6:$A$143,0)),"",IF(INDEX(CALC!$H$6:$H$143,MATCH($A30,CALC!$A$6:$A$143,0))="","",INDEX(CALC!$H$6:$H$143,MATCH($A30,CALC!$A$6:$A$143,0)))))</f>
        <v/>
      </c>
      <c r="I30">
        <f>IF($E30="","",IF(OR($H30="",$F30=0,$F30=""),$E30,$G30*$E30+(1-$G30)*$H30))</f>
        <v/>
      </c>
      <c r="J30">
        <f>IF(OR($A30="",SETTINGS!$B$4="",SETTINGS!$B$4&lt;=1),"",IF(COUNTIFS(HISTORY!$A$6:$A$3005,SETTINGS!$B$4-1,HISTORY!$B$6:$B$3005,$A30)=1,SUMIFS(HISTORY!$C$6:$C$3005,HISTORY!$A$6:$A$3005,SETTINGS!$B$4-1,HISTORY!$B$6:$B$3005,$A30),""))</f>
        <v/>
      </c>
      <c r="K30">
        <f>IF($I30="","",IF(ISNUMBER($J30),$J30+MAX(-SETTINGS!$B$12,MIN(SETTINGS!$B$12,$I30-$J30)),$I30))</f>
        <v/>
      </c>
      <c r="O30">
        <f>IF($A30="","",IF(ISNUMBER($L30),$L30,IF($K30="","",$K30)))</f>
        <v/>
      </c>
      <c r="P30">
        <f>IF($A30="","",IF(ISNUMBER($L30),"OVERRIDE","MODEL"))</f>
        <v/>
      </c>
      <c r="Q30">
        <f>IF($A30="","",SETTINGS!$B$6)</f>
        <v/>
      </c>
      <c r="S30">
        <f>IF($A30="","",IF(ISNUMBER($R30),$R30,$Q30))</f>
        <v/>
      </c>
      <c r="W30">
        <f>IF($A30="","",SUMIFS(CLEAN!$AD$6:$AD$1005,CLEAN!$P$6:$P$1005,$A30)+SUMIFS(CLEAN!$AE$6:$AE$1005,CLEAN!$N$6:$N$1005,$A30))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MAP'!$C31)</f>
        <v/>
      </c>
      <c r="D31">
        <f>IF('TEAM MAP'!$A31="","",'TEAM MAP'!$E31)</f>
        <v/>
      </c>
      <c r="E31">
        <f>IF($A31="","",IF(ISNA(MATCH($A31,PRESEASON!$A$6:$A$143,0)),"",IF(INDEX(PRESEASON!$Z$6:$Z$143,MATCH($A31,PRESEASON!$A$6:$A$143,0))="","",INDEX(PRESEASON!$Z$6:$Z$143,MATCH($A31,PRESEASON!$A$6:$A$143,0)))))</f>
        <v/>
      </c>
      <c r="F31">
        <f>IF($A31="","",SUMIFS(CLEAN!$AB$6:$AB$1005,CLEAN!$P$6:$P$1005,$A31)+SUMIFS(CLEAN!$AC$6:$AC$1005,CLEAN!$N$6:$N$1005,$A31))</f>
        <v/>
      </c>
      <c r="G31">
        <f>IF(OR($A31="",$F31=""),"",IF(MIN($F31,9)&gt;=9,SETTINGS!$C$46,INDEX(SETTINGS!$C$37:$C$46,INT(MIN($F31,9))+1)+(MIN($F31,9)-INT(MIN($F31,9)))*(INDEX(SETTINGS!$C$37:$C$46,INT(MIN($F31,9))+2)-INDEX(SETTINGS!$C$37:$C$46,INT(MIN($F31,9))+1))))</f>
        <v/>
      </c>
      <c r="H31">
        <f>IF($A31="","",IF(ISNA(MATCH($A31,CALC!$A$6:$A$143,0)),"",IF(INDEX(CALC!$H$6:$H$143,MATCH($A31,CALC!$A$6:$A$143,0))="","",INDEX(CALC!$H$6:$H$143,MATCH($A31,CALC!$A$6:$A$143,0)))))</f>
        <v/>
      </c>
      <c r="I31">
        <f>IF($E31="","",IF(OR($H31="",$F31=0,$F31=""),$E31,$G31*$E31+(1-$G31)*$H31))</f>
        <v/>
      </c>
      <c r="J31">
        <f>IF(OR($A31="",SETTINGS!$B$4="",SETTINGS!$B$4&lt;=1),"",IF(COUNTIFS(HISTORY!$A$6:$A$3005,SETTINGS!$B$4-1,HISTORY!$B$6:$B$3005,$A31)=1,SUMIFS(HISTORY!$C$6:$C$3005,HISTORY!$A$6:$A$3005,SETTINGS!$B$4-1,HISTORY!$B$6:$B$3005,$A31),""))</f>
        <v/>
      </c>
      <c r="K31">
        <f>IF($I31="","",IF(ISNUMBER($J31),$J31+MAX(-SETTINGS!$B$12,MIN(SETTINGS!$B$12,$I31-$J31)),$I31))</f>
        <v/>
      </c>
      <c r="O31">
        <f>IF($A31="","",IF(ISNUMBER($L31),$L31,IF($K31="","",$K31)))</f>
        <v/>
      </c>
      <c r="P31">
        <f>IF($A31="","",IF(ISNUMBER($L31),"OVERRIDE","MODEL"))</f>
        <v/>
      </c>
      <c r="Q31">
        <f>IF($A31="","",SETTINGS!$B$6)</f>
        <v/>
      </c>
      <c r="S31">
        <f>IF($A31="","",IF(ISNUMBER($R31),$R31,$Q31))</f>
        <v/>
      </c>
      <c r="W31">
        <f>IF($A31="","",SUMIFS(CLEAN!$AD$6:$AD$1005,CLEAN!$P$6:$P$1005,$A31)+SUMIFS(CLEAN!$AE$6:$AE$1005,CLEAN!$N$6:$N$1005,$A31))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MAP'!$C32)</f>
        <v/>
      </c>
      <c r="D32">
        <f>IF('TEAM MAP'!$A32="","",'TEAM MAP'!$E32)</f>
        <v/>
      </c>
      <c r="E32">
        <f>IF($A32="","",IF(ISNA(MATCH($A32,PRESEASON!$A$6:$A$143,0)),"",IF(INDEX(PRESEASON!$Z$6:$Z$143,MATCH($A32,PRESEASON!$A$6:$A$143,0))="","",INDEX(PRESEASON!$Z$6:$Z$143,MATCH($A32,PRESEASON!$A$6:$A$143,0)))))</f>
        <v/>
      </c>
      <c r="F32">
        <f>IF($A32="","",SUMIFS(CLEAN!$AB$6:$AB$1005,CLEAN!$P$6:$P$1005,$A32)+SUMIFS(CLEAN!$AC$6:$AC$1005,CLEAN!$N$6:$N$1005,$A32))</f>
        <v/>
      </c>
      <c r="G32">
        <f>IF(OR($A32="",$F32=""),"",IF(MIN($F32,9)&gt;=9,SETTINGS!$C$46,INDEX(SETTINGS!$C$37:$C$46,INT(MIN($F32,9))+1)+(MIN($F32,9)-INT(MIN($F32,9)))*(INDEX(SETTINGS!$C$37:$C$46,INT(MIN($F32,9))+2)-INDEX(SETTINGS!$C$37:$C$46,INT(MIN($F32,9))+1))))</f>
        <v/>
      </c>
      <c r="H32">
        <f>IF($A32="","",IF(ISNA(MATCH($A32,CALC!$A$6:$A$143,0)),"",IF(INDEX(CALC!$H$6:$H$143,MATCH($A32,CALC!$A$6:$A$143,0))="","",INDEX(CALC!$H$6:$H$143,MATCH($A32,CALC!$A$6:$A$143,0)))))</f>
        <v/>
      </c>
      <c r="I32">
        <f>IF($E32="","",IF(OR($H32="",$F32=0,$F32=""),$E32,$G32*$E32+(1-$G32)*$H32))</f>
        <v/>
      </c>
      <c r="J32">
        <f>IF(OR($A32="",SETTINGS!$B$4="",SETTINGS!$B$4&lt;=1),"",IF(COUNTIFS(HISTORY!$A$6:$A$3005,SETTINGS!$B$4-1,HISTORY!$B$6:$B$3005,$A32)=1,SUMIFS(HISTORY!$C$6:$C$3005,HISTORY!$A$6:$A$3005,SETTINGS!$B$4-1,HISTORY!$B$6:$B$3005,$A32),""))</f>
        <v/>
      </c>
      <c r="K32">
        <f>IF($I32="","",IF(ISNUMBER($J32),$J32+MAX(-SETTINGS!$B$12,MIN(SETTINGS!$B$12,$I32-$J32)),$I32))</f>
        <v/>
      </c>
      <c r="O32">
        <f>IF($A32="","",IF(ISNUMBER($L32),$L32,IF($K32="","",$K32)))</f>
        <v/>
      </c>
      <c r="P32">
        <f>IF($A32="","",IF(ISNUMBER($L32),"OVERRIDE","MODEL"))</f>
        <v/>
      </c>
      <c r="Q32">
        <f>IF($A32="","",SETTINGS!$B$6)</f>
        <v/>
      </c>
      <c r="S32">
        <f>IF($A32="","",IF(ISNUMBER($R32),$R32,$Q32))</f>
        <v/>
      </c>
      <c r="W32">
        <f>IF($A32="","",SUMIFS(CLEAN!$AD$6:$AD$1005,CLEAN!$P$6:$P$1005,$A32)+SUMIFS(CLEAN!$AE$6:$AE$1005,CLEAN!$N$6:$N$1005,$A32))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MAP'!$C33)</f>
        <v/>
      </c>
      <c r="D33">
        <f>IF('TEAM MAP'!$A33="","",'TEAM MAP'!$E33)</f>
        <v/>
      </c>
      <c r="E33">
        <f>IF($A33="","",IF(ISNA(MATCH($A33,PRESEASON!$A$6:$A$143,0)),"",IF(INDEX(PRESEASON!$Z$6:$Z$143,MATCH($A33,PRESEASON!$A$6:$A$143,0))="","",INDEX(PRESEASON!$Z$6:$Z$143,MATCH($A33,PRESEASON!$A$6:$A$143,0)))))</f>
        <v/>
      </c>
      <c r="F33">
        <f>IF($A33="","",SUMIFS(CLEAN!$AB$6:$AB$1005,CLEAN!$P$6:$P$1005,$A33)+SUMIFS(CLEAN!$AC$6:$AC$1005,CLEAN!$N$6:$N$1005,$A33))</f>
        <v/>
      </c>
      <c r="G33">
        <f>IF(OR($A33="",$F33=""),"",IF(MIN($F33,9)&gt;=9,SETTINGS!$C$46,INDEX(SETTINGS!$C$37:$C$46,INT(MIN($F33,9))+1)+(MIN($F33,9)-INT(MIN($F33,9)))*(INDEX(SETTINGS!$C$37:$C$46,INT(MIN($F33,9))+2)-INDEX(SETTINGS!$C$37:$C$46,INT(MIN($F33,9))+1))))</f>
        <v/>
      </c>
      <c r="H33">
        <f>IF($A33="","",IF(ISNA(MATCH($A33,CALC!$A$6:$A$143,0)),"",IF(INDEX(CALC!$H$6:$H$143,MATCH($A33,CALC!$A$6:$A$143,0))="","",INDEX(CALC!$H$6:$H$143,MATCH($A33,CALC!$A$6:$A$143,0)))))</f>
        <v/>
      </c>
      <c r="I33">
        <f>IF($E33="","",IF(OR($H33="",$F33=0,$F33=""),$E33,$G33*$E33+(1-$G33)*$H33))</f>
        <v/>
      </c>
      <c r="J33">
        <f>IF(OR($A33="",SETTINGS!$B$4="",SETTINGS!$B$4&lt;=1),"",IF(COUNTIFS(HISTORY!$A$6:$A$3005,SETTINGS!$B$4-1,HISTORY!$B$6:$B$3005,$A33)=1,SUMIFS(HISTORY!$C$6:$C$3005,HISTORY!$A$6:$A$3005,SETTINGS!$B$4-1,HISTORY!$B$6:$B$3005,$A33),""))</f>
        <v/>
      </c>
      <c r="K33">
        <f>IF($I33="","",IF(ISNUMBER($J33),$J33+MAX(-SETTINGS!$B$12,MIN(SETTINGS!$B$12,$I33-$J33)),$I33))</f>
        <v/>
      </c>
      <c r="O33">
        <f>IF($A33="","",IF(ISNUMBER($L33),$L33,IF($K33="","",$K33)))</f>
        <v/>
      </c>
      <c r="P33">
        <f>IF($A33="","",IF(ISNUMBER($L33),"OVERRIDE","MODEL"))</f>
        <v/>
      </c>
      <c r="Q33">
        <f>IF($A33="","",SETTINGS!$B$6)</f>
        <v/>
      </c>
      <c r="S33">
        <f>IF($A33="","",IF(ISNUMBER($R33),$R33,$Q33))</f>
        <v/>
      </c>
      <c r="W33">
        <f>IF($A33="","",SUMIFS(CLEAN!$AD$6:$AD$1005,CLEAN!$P$6:$P$1005,$A33)+SUMIFS(CLEAN!$AE$6:$AE$1005,CLEAN!$N$6:$N$1005,$A33))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MAP'!$C34)</f>
        <v/>
      </c>
      <c r="D34">
        <f>IF('TEAM MAP'!$A34="","",'TEAM MAP'!$E34)</f>
        <v/>
      </c>
      <c r="E34">
        <f>IF($A34="","",IF(ISNA(MATCH($A34,PRESEASON!$A$6:$A$143,0)),"",IF(INDEX(PRESEASON!$Z$6:$Z$143,MATCH($A34,PRESEASON!$A$6:$A$143,0))="","",INDEX(PRESEASON!$Z$6:$Z$143,MATCH($A34,PRESEASON!$A$6:$A$143,0)))))</f>
        <v/>
      </c>
      <c r="F34">
        <f>IF($A34="","",SUMIFS(CLEAN!$AB$6:$AB$1005,CLEAN!$P$6:$P$1005,$A34)+SUMIFS(CLEAN!$AC$6:$AC$1005,CLEAN!$N$6:$N$1005,$A34))</f>
        <v/>
      </c>
      <c r="G34">
        <f>IF(OR($A34="",$F34=""),"",IF(MIN($F34,9)&gt;=9,SETTINGS!$C$46,INDEX(SETTINGS!$C$37:$C$46,INT(MIN($F34,9))+1)+(MIN($F34,9)-INT(MIN($F34,9)))*(INDEX(SETTINGS!$C$37:$C$46,INT(MIN($F34,9))+2)-INDEX(SETTINGS!$C$37:$C$46,INT(MIN($F34,9))+1))))</f>
        <v/>
      </c>
      <c r="H34">
        <f>IF($A34="","",IF(ISNA(MATCH($A34,CALC!$A$6:$A$143,0)),"",IF(INDEX(CALC!$H$6:$H$143,MATCH($A34,CALC!$A$6:$A$143,0))="","",INDEX(CALC!$H$6:$H$143,MATCH($A34,CALC!$A$6:$A$143,0)))))</f>
        <v/>
      </c>
      <c r="I34">
        <f>IF($E34="","",IF(OR($H34="",$F34=0,$F34=""),$E34,$G34*$E34+(1-$G34)*$H34))</f>
        <v/>
      </c>
      <c r="J34">
        <f>IF(OR($A34="",SETTINGS!$B$4="",SETTINGS!$B$4&lt;=1),"",IF(COUNTIFS(HISTORY!$A$6:$A$3005,SETTINGS!$B$4-1,HISTORY!$B$6:$B$3005,$A34)=1,SUMIFS(HISTORY!$C$6:$C$3005,HISTORY!$A$6:$A$3005,SETTINGS!$B$4-1,HISTORY!$B$6:$B$3005,$A34),""))</f>
        <v/>
      </c>
      <c r="K34">
        <f>IF($I34="","",IF(ISNUMBER($J34),$J34+MAX(-SETTINGS!$B$12,MIN(SETTINGS!$B$12,$I34-$J34)),$I34))</f>
        <v/>
      </c>
      <c r="O34">
        <f>IF($A34="","",IF(ISNUMBER($L34),$L34,IF($K34="","",$K34)))</f>
        <v/>
      </c>
      <c r="P34">
        <f>IF($A34="","",IF(ISNUMBER($L34),"OVERRIDE","MODEL"))</f>
        <v/>
      </c>
      <c r="Q34">
        <f>IF($A34="","",SETTINGS!$B$6)</f>
        <v/>
      </c>
      <c r="S34">
        <f>IF($A34="","",IF(ISNUMBER($R34),$R34,$Q34))</f>
        <v/>
      </c>
      <c r="W34">
        <f>IF($A34="","",SUMIFS(CLEAN!$AD$6:$AD$1005,CLEAN!$P$6:$P$1005,$A34)+SUMIFS(CLEAN!$AE$6:$AE$1005,CLEAN!$N$6:$N$1005,$A34))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MAP'!$C35)</f>
        <v/>
      </c>
      <c r="D35">
        <f>IF('TEAM MAP'!$A35="","",'TEAM MAP'!$E35)</f>
        <v/>
      </c>
      <c r="E35">
        <f>IF($A35="","",IF(ISNA(MATCH($A35,PRESEASON!$A$6:$A$143,0)),"",IF(INDEX(PRESEASON!$Z$6:$Z$143,MATCH($A35,PRESEASON!$A$6:$A$143,0))="","",INDEX(PRESEASON!$Z$6:$Z$143,MATCH($A35,PRESEASON!$A$6:$A$143,0)))))</f>
        <v/>
      </c>
      <c r="F35">
        <f>IF($A35="","",SUMIFS(CLEAN!$AB$6:$AB$1005,CLEAN!$P$6:$P$1005,$A35)+SUMIFS(CLEAN!$AC$6:$AC$1005,CLEAN!$N$6:$N$1005,$A35))</f>
        <v/>
      </c>
      <c r="G35">
        <f>IF(OR($A35="",$F35=""),"",IF(MIN($F35,9)&gt;=9,SETTINGS!$C$46,INDEX(SETTINGS!$C$37:$C$46,INT(MIN($F35,9))+1)+(MIN($F35,9)-INT(MIN($F35,9)))*(INDEX(SETTINGS!$C$37:$C$46,INT(MIN($F35,9))+2)-INDEX(SETTINGS!$C$37:$C$46,INT(MIN($F35,9))+1))))</f>
        <v/>
      </c>
      <c r="H35">
        <f>IF($A35="","",IF(ISNA(MATCH($A35,CALC!$A$6:$A$143,0)),"",IF(INDEX(CALC!$H$6:$H$143,MATCH($A35,CALC!$A$6:$A$143,0))="","",INDEX(CALC!$H$6:$H$143,MATCH($A35,CALC!$A$6:$A$143,0)))))</f>
        <v/>
      </c>
      <c r="I35">
        <f>IF($E35="","",IF(OR($H35="",$F35=0,$F35=""),$E35,$G35*$E35+(1-$G35)*$H35))</f>
        <v/>
      </c>
      <c r="J35">
        <f>IF(OR($A35="",SETTINGS!$B$4="",SETTINGS!$B$4&lt;=1),"",IF(COUNTIFS(HISTORY!$A$6:$A$3005,SETTINGS!$B$4-1,HISTORY!$B$6:$B$3005,$A35)=1,SUMIFS(HISTORY!$C$6:$C$3005,HISTORY!$A$6:$A$3005,SETTINGS!$B$4-1,HISTORY!$B$6:$B$3005,$A35),""))</f>
        <v/>
      </c>
      <c r="K35">
        <f>IF($I35="","",IF(ISNUMBER($J35),$J35+MAX(-SETTINGS!$B$12,MIN(SETTINGS!$B$12,$I35-$J35)),$I35))</f>
        <v/>
      </c>
      <c r="O35">
        <f>IF($A35="","",IF(ISNUMBER($L35),$L35,IF($K35="","",$K35)))</f>
        <v/>
      </c>
      <c r="P35">
        <f>IF($A35="","",IF(ISNUMBER($L35),"OVERRIDE","MODEL"))</f>
        <v/>
      </c>
      <c r="Q35">
        <f>IF($A35="","",SETTINGS!$B$6)</f>
        <v/>
      </c>
      <c r="S35">
        <f>IF($A35="","",IF(ISNUMBER($R35),$R35,$Q35))</f>
        <v/>
      </c>
      <c r="W35">
        <f>IF($A35="","",SUMIFS(CLEAN!$AD$6:$AD$1005,CLEAN!$P$6:$P$1005,$A35)+SUMIFS(CLEAN!$AE$6:$AE$1005,CLEAN!$N$6:$N$1005,$A35))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MAP'!$C36)</f>
        <v/>
      </c>
      <c r="D36">
        <f>IF('TEAM MAP'!$A36="","",'TEAM MAP'!$E36)</f>
        <v/>
      </c>
      <c r="E36">
        <f>IF($A36="","",IF(ISNA(MATCH($A36,PRESEASON!$A$6:$A$143,0)),"",IF(INDEX(PRESEASON!$Z$6:$Z$143,MATCH($A36,PRESEASON!$A$6:$A$143,0))="","",INDEX(PRESEASON!$Z$6:$Z$143,MATCH($A36,PRESEASON!$A$6:$A$143,0)))))</f>
        <v/>
      </c>
      <c r="F36">
        <f>IF($A36="","",SUMIFS(CLEAN!$AB$6:$AB$1005,CLEAN!$P$6:$P$1005,$A36)+SUMIFS(CLEAN!$AC$6:$AC$1005,CLEAN!$N$6:$N$1005,$A36))</f>
        <v/>
      </c>
      <c r="G36">
        <f>IF(OR($A36="",$F36=""),"",IF(MIN($F36,9)&gt;=9,SETTINGS!$C$46,INDEX(SETTINGS!$C$37:$C$46,INT(MIN($F36,9))+1)+(MIN($F36,9)-INT(MIN($F36,9)))*(INDEX(SETTINGS!$C$37:$C$46,INT(MIN($F36,9))+2)-INDEX(SETTINGS!$C$37:$C$46,INT(MIN($F36,9))+1))))</f>
        <v/>
      </c>
      <c r="H36">
        <f>IF($A36="","",IF(ISNA(MATCH($A36,CALC!$A$6:$A$143,0)),"",IF(INDEX(CALC!$H$6:$H$143,MATCH($A36,CALC!$A$6:$A$143,0))="","",INDEX(CALC!$H$6:$H$143,MATCH($A36,CALC!$A$6:$A$143,0)))))</f>
        <v/>
      </c>
      <c r="I36">
        <f>IF($E36="","",IF(OR($H36="",$F36=0,$F36=""),$E36,$G36*$E36+(1-$G36)*$H36))</f>
        <v/>
      </c>
      <c r="J36">
        <f>IF(OR($A36="",SETTINGS!$B$4="",SETTINGS!$B$4&lt;=1),"",IF(COUNTIFS(HISTORY!$A$6:$A$3005,SETTINGS!$B$4-1,HISTORY!$B$6:$B$3005,$A36)=1,SUMIFS(HISTORY!$C$6:$C$3005,HISTORY!$A$6:$A$3005,SETTINGS!$B$4-1,HISTORY!$B$6:$B$3005,$A36),""))</f>
        <v/>
      </c>
      <c r="K36">
        <f>IF($I36="","",IF(ISNUMBER($J36),$J36+MAX(-SETTINGS!$B$12,MIN(SETTINGS!$B$12,$I36-$J36)),$I36))</f>
        <v/>
      </c>
      <c r="O36">
        <f>IF($A36="","",IF(ISNUMBER($L36),$L36,IF($K36="","",$K36)))</f>
        <v/>
      </c>
      <c r="P36">
        <f>IF($A36="","",IF(ISNUMBER($L36),"OVERRIDE","MODEL"))</f>
        <v/>
      </c>
      <c r="Q36">
        <f>IF($A36="","",SETTINGS!$B$6)</f>
        <v/>
      </c>
      <c r="S36">
        <f>IF($A36="","",IF(ISNUMBER($R36),$R36,$Q36))</f>
        <v/>
      </c>
      <c r="W36">
        <f>IF($A36="","",SUMIFS(CLEAN!$AD$6:$AD$1005,CLEAN!$P$6:$P$1005,$A36)+SUMIFS(CLEAN!$AE$6:$AE$1005,CLEAN!$N$6:$N$1005,$A36))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MAP'!$C37)</f>
        <v/>
      </c>
      <c r="D37">
        <f>IF('TEAM MAP'!$A37="","",'TEAM MAP'!$E37)</f>
        <v/>
      </c>
      <c r="E37">
        <f>IF($A37="","",IF(ISNA(MATCH($A37,PRESEASON!$A$6:$A$143,0)),"",IF(INDEX(PRESEASON!$Z$6:$Z$143,MATCH($A37,PRESEASON!$A$6:$A$143,0))="","",INDEX(PRESEASON!$Z$6:$Z$143,MATCH($A37,PRESEASON!$A$6:$A$143,0)))))</f>
        <v/>
      </c>
      <c r="F37">
        <f>IF($A37="","",SUMIFS(CLEAN!$AB$6:$AB$1005,CLEAN!$P$6:$P$1005,$A37)+SUMIFS(CLEAN!$AC$6:$AC$1005,CLEAN!$N$6:$N$1005,$A37))</f>
        <v/>
      </c>
      <c r="G37">
        <f>IF(OR($A37="",$F37=""),"",IF(MIN($F37,9)&gt;=9,SETTINGS!$C$46,INDEX(SETTINGS!$C$37:$C$46,INT(MIN($F37,9))+1)+(MIN($F37,9)-INT(MIN($F37,9)))*(INDEX(SETTINGS!$C$37:$C$46,INT(MIN($F37,9))+2)-INDEX(SETTINGS!$C$37:$C$46,INT(MIN($F37,9))+1))))</f>
        <v/>
      </c>
      <c r="H37">
        <f>IF($A37="","",IF(ISNA(MATCH($A37,CALC!$A$6:$A$143,0)),"",IF(INDEX(CALC!$H$6:$H$143,MATCH($A37,CALC!$A$6:$A$143,0))="","",INDEX(CALC!$H$6:$H$143,MATCH($A37,CALC!$A$6:$A$143,0)))))</f>
        <v/>
      </c>
      <c r="I37">
        <f>IF($E37="","",IF(OR($H37="",$F37=0,$F37=""),$E37,$G37*$E37+(1-$G37)*$H37))</f>
        <v/>
      </c>
      <c r="J37">
        <f>IF(OR($A37="",SETTINGS!$B$4="",SETTINGS!$B$4&lt;=1),"",IF(COUNTIFS(HISTORY!$A$6:$A$3005,SETTINGS!$B$4-1,HISTORY!$B$6:$B$3005,$A37)=1,SUMIFS(HISTORY!$C$6:$C$3005,HISTORY!$A$6:$A$3005,SETTINGS!$B$4-1,HISTORY!$B$6:$B$3005,$A37),""))</f>
        <v/>
      </c>
      <c r="K37">
        <f>IF($I37="","",IF(ISNUMBER($J37),$J37+MAX(-SETTINGS!$B$12,MIN(SETTINGS!$B$12,$I37-$J37)),$I37))</f>
        <v/>
      </c>
      <c r="O37">
        <f>IF($A37="","",IF(ISNUMBER($L37),$L37,IF($K37="","",$K37)))</f>
        <v/>
      </c>
      <c r="P37">
        <f>IF($A37="","",IF(ISNUMBER($L37),"OVERRIDE","MODEL"))</f>
        <v/>
      </c>
      <c r="Q37">
        <f>IF($A37="","",SETTINGS!$B$6)</f>
        <v/>
      </c>
      <c r="S37">
        <f>IF($A37="","",IF(ISNUMBER($R37),$R37,$Q37))</f>
        <v/>
      </c>
      <c r="W37">
        <f>IF($A37="","",SUMIFS(CLEAN!$AD$6:$AD$1005,CLEAN!$P$6:$P$1005,$A37)+SUMIFS(CLEAN!$AE$6:$AE$1005,CLEAN!$N$6:$N$1005,$A37))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MAP'!$C38)</f>
        <v/>
      </c>
      <c r="D38">
        <f>IF('TEAM MAP'!$A38="","",'TEAM MAP'!$E38)</f>
        <v/>
      </c>
      <c r="E38">
        <f>IF($A38="","",IF(ISNA(MATCH($A38,PRESEASON!$A$6:$A$143,0)),"",IF(INDEX(PRESEASON!$Z$6:$Z$143,MATCH($A38,PRESEASON!$A$6:$A$143,0))="","",INDEX(PRESEASON!$Z$6:$Z$143,MATCH($A38,PRESEASON!$A$6:$A$143,0)))))</f>
        <v/>
      </c>
      <c r="F38">
        <f>IF($A38="","",SUMIFS(CLEAN!$AB$6:$AB$1005,CLEAN!$P$6:$P$1005,$A38)+SUMIFS(CLEAN!$AC$6:$AC$1005,CLEAN!$N$6:$N$1005,$A38))</f>
        <v/>
      </c>
      <c r="G38">
        <f>IF(OR($A38="",$F38=""),"",IF(MIN($F38,9)&gt;=9,SETTINGS!$C$46,INDEX(SETTINGS!$C$37:$C$46,INT(MIN($F38,9))+1)+(MIN($F38,9)-INT(MIN($F38,9)))*(INDEX(SETTINGS!$C$37:$C$46,INT(MIN($F38,9))+2)-INDEX(SETTINGS!$C$37:$C$46,INT(MIN($F38,9))+1))))</f>
        <v/>
      </c>
      <c r="H38">
        <f>IF($A38="","",IF(ISNA(MATCH($A38,CALC!$A$6:$A$143,0)),"",IF(INDEX(CALC!$H$6:$H$143,MATCH($A38,CALC!$A$6:$A$143,0))="","",INDEX(CALC!$H$6:$H$143,MATCH($A38,CALC!$A$6:$A$143,0)))))</f>
        <v/>
      </c>
      <c r="I38">
        <f>IF($E38="","",IF(OR($H38="",$F38=0,$F38=""),$E38,$G38*$E38+(1-$G38)*$H38))</f>
        <v/>
      </c>
      <c r="J38">
        <f>IF(OR($A38="",SETTINGS!$B$4="",SETTINGS!$B$4&lt;=1),"",IF(COUNTIFS(HISTORY!$A$6:$A$3005,SETTINGS!$B$4-1,HISTORY!$B$6:$B$3005,$A38)=1,SUMIFS(HISTORY!$C$6:$C$3005,HISTORY!$A$6:$A$3005,SETTINGS!$B$4-1,HISTORY!$B$6:$B$3005,$A38),""))</f>
        <v/>
      </c>
      <c r="K38">
        <f>IF($I38="","",IF(ISNUMBER($J38),$J38+MAX(-SETTINGS!$B$12,MIN(SETTINGS!$B$12,$I38-$J38)),$I38))</f>
        <v/>
      </c>
      <c r="O38">
        <f>IF($A38="","",IF(ISNUMBER($L38),$L38,IF($K38="","",$K38)))</f>
        <v/>
      </c>
      <c r="P38">
        <f>IF($A38="","",IF(ISNUMBER($L38),"OVERRIDE","MODEL"))</f>
        <v/>
      </c>
      <c r="Q38">
        <f>IF($A38="","",SETTINGS!$B$6)</f>
        <v/>
      </c>
      <c r="S38">
        <f>IF($A38="","",IF(ISNUMBER($R38),$R38,$Q38))</f>
        <v/>
      </c>
      <c r="W38">
        <f>IF($A38="","",SUMIFS(CLEAN!$AD$6:$AD$1005,CLEAN!$P$6:$P$1005,$A38)+SUMIFS(CLEAN!$AE$6:$AE$1005,CLEAN!$N$6:$N$1005,$A38))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MAP'!$C39)</f>
        <v/>
      </c>
      <c r="D39">
        <f>IF('TEAM MAP'!$A39="","",'TEAM MAP'!$E39)</f>
        <v/>
      </c>
      <c r="E39">
        <f>IF($A39="","",IF(ISNA(MATCH($A39,PRESEASON!$A$6:$A$143,0)),"",IF(INDEX(PRESEASON!$Z$6:$Z$143,MATCH($A39,PRESEASON!$A$6:$A$143,0))="","",INDEX(PRESEASON!$Z$6:$Z$143,MATCH($A39,PRESEASON!$A$6:$A$143,0)))))</f>
        <v/>
      </c>
      <c r="F39">
        <f>IF($A39="","",SUMIFS(CLEAN!$AB$6:$AB$1005,CLEAN!$P$6:$P$1005,$A39)+SUMIFS(CLEAN!$AC$6:$AC$1005,CLEAN!$N$6:$N$1005,$A39))</f>
        <v/>
      </c>
      <c r="G39">
        <f>IF(OR($A39="",$F39=""),"",IF(MIN($F39,9)&gt;=9,SETTINGS!$C$46,INDEX(SETTINGS!$C$37:$C$46,INT(MIN($F39,9))+1)+(MIN($F39,9)-INT(MIN($F39,9)))*(INDEX(SETTINGS!$C$37:$C$46,INT(MIN($F39,9))+2)-INDEX(SETTINGS!$C$37:$C$46,INT(MIN($F39,9))+1))))</f>
        <v/>
      </c>
      <c r="H39">
        <f>IF($A39="","",IF(ISNA(MATCH($A39,CALC!$A$6:$A$143,0)),"",IF(INDEX(CALC!$H$6:$H$143,MATCH($A39,CALC!$A$6:$A$143,0))="","",INDEX(CALC!$H$6:$H$143,MATCH($A39,CALC!$A$6:$A$143,0)))))</f>
        <v/>
      </c>
      <c r="I39">
        <f>IF($E39="","",IF(OR($H39="",$F39=0,$F39=""),$E39,$G39*$E39+(1-$G39)*$H39))</f>
        <v/>
      </c>
      <c r="J39">
        <f>IF(OR($A39="",SETTINGS!$B$4="",SETTINGS!$B$4&lt;=1),"",IF(COUNTIFS(HISTORY!$A$6:$A$3005,SETTINGS!$B$4-1,HISTORY!$B$6:$B$3005,$A39)=1,SUMIFS(HISTORY!$C$6:$C$3005,HISTORY!$A$6:$A$3005,SETTINGS!$B$4-1,HISTORY!$B$6:$B$3005,$A39),""))</f>
        <v/>
      </c>
      <c r="K39">
        <f>IF($I39="","",IF(ISNUMBER($J39),$J39+MAX(-SETTINGS!$B$12,MIN(SETTINGS!$B$12,$I39-$J39)),$I39))</f>
        <v/>
      </c>
      <c r="O39">
        <f>IF($A39="","",IF(ISNUMBER($L39),$L39,IF($K39="","",$K39)))</f>
        <v/>
      </c>
      <c r="P39">
        <f>IF($A39="","",IF(ISNUMBER($L39),"OVERRIDE","MODEL"))</f>
        <v/>
      </c>
      <c r="Q39">
        <f>IF($A39="","",SETTINGS!$B$6)</f>
        <v/>
      </c>
      <c r="S39">
        <f>IF($A39="","",IF(ISNUMBER($R39),$R39,$Q39))</f>
        <v/>
      </c>
      <c r="W39">
        <f>IF($A39="","",SUMIFS(CLEAN!$AD$6:$AD$1005,CLEAN!$P$6:$P$1005,$A39)+SUMIFS(CLEAN!$AE$6:$AE$1005,CLEAN!$N$6:$N$1005,$A39))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MAP'!$C40)</f>
        <v/>
      </c>
      <c r="D40">
        <f>IF('TEAM MAP'!$A40="","",'TEAM MAP'!$E40)</f>
        <v/>
      </c>
      <c r="E40">
        <f>IF($A40="","",IF(ISNA(MATCH($A40,PRESEASON!$A$6:$A$143,0)),"",IF(INDEX(PRESEASON!$Z$6:$Z$143,MATCH($A40,PRESEASON!$A$6:$A$143,0))="","",INDEX(PRESEASON!$Z$6:$Z$143,MATCH($A40,PRESEASON!$A$6:$A$143,0)))))</f>
        <v/>
      </c>
      <c r="F40">
        <f>IF($A40="","",SUMIFS(CLEAN!$AB$6:$AB$1005,CLEAN!$P$6:$P$1005,$A40)+SUMIFS(CLEAN!$AC$6:$AC$1005,CLEAN!$N$6:$N$1005,$A40))</f>
        <v/>
      </c>
      <c r="G40">
        <f>IF(OR($A40="",$F40=""),"",IF(MIN($F40,9)&gt;=9,SETTINGS!$C$46,INDEX(SETTINGS!$C$37:$C$46,INT(MIN($F40,9))+1)+(MIN($F40,9)-INT(MIN($F40,9)))*(INDEX(SETTINGS!$C$37:$C$46,INT(MIN($F40,9))+2)-INDEX(SETTINGS!$C$37:$C$46,INT(MIN($F40,9))+1))))</f>
        <v/>
      </c>
      <c r="H40">
        <f>IF($A40="","",IF(ISNA(MATCH($A40,CALC!$A$6:$A$143,0)),"",IF(INDEX(CALC!$H$6:$H$143,MATCH($A40,CALC!$A$6:$A$143,0))="","",INDEX(CALC!$H$6:$H$143,MATCH($A40,CALC!$A$6:$A$143,0)))))</f>
        <v/>
      </c>
      <c r="I40">
        <f>IF($E40="","",IF(OR($H40="",$F40=0,$F40=""),$E40,$G40*$E40+(1-$G40)*$H40))</f>
        <v/>
      </c>
      <c r="J40">
        <f>IF(OR($A40="",SETTINGS!$B$4="",SETTINGS!$B$4&lt;=1),"",IF(COUNTIFS(HISTORY!$A$6:$A$3005,SETTINGS!$B$4-1,HISTORY!$B$6:$B$3005,$A40)=1,SUMIFS(HISTORY!$C$6:$C$3005,HISTORY!$A$6:$A$3005,SETTINGS!$B$4-1,HISTORY!$B$6:$B$3005,$A40),""))</f>
        <v/>
      </c>
      <c r="K40">
        <f>IF($I40="","",IF(ISNUMBER($J40),$J40+MAX(-SETTINGS!$B$12,MIN(SETTINGS!$B$12,$I40-$J40)),$I40))</f>
        <v/>
      </c>
      <c r="O40">
        <f>IF($A40="","",IF(ISNUMBER($L40),$L40,IF($K40="","",$K40)))</f>
        <v/>
      </c>
      <c r="P40">
        <f>IF($A40="","",IF(ISNUMBER($L40),"OVERRIDE","MODEL"))</f>
        <v/>
      </c>
      <c r="Q40">
        <f>IF($A40="","",SETTINGS!$B$6)</f>
        <v/>
      </c>
      <c r="S40">
        <f>IF($A40="","",IF(ISNUMBER($R40),$R40,$Q40))</f>
        <v/>
      </c>
      <c r="W40">
        <f>IF($A40="","",SUMIFS(CLEAN!$AD$6:$AD$1005,CLEAN!$P$6:$P$1005,$A40)+SUMIFS(CLEAN!$AE$6:$AE$1005,CLEAN!$N$6:$N$1005,$A40))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MAP'!$C41)</f>
        <v/>
      </c>
      <c r="D41">
        <f>IF('TEAM MAP'!$A41="","",'TEAM MAP'!$E41)</f>
        <v/>
      </c>
      <c r="E41">
        <f>IF($A41="","",IF(ISNA(MATCH($A41,PRESEASON!$A$6:$A$143,0)),"",IF(INDEX(PRESEASON!$Z$6:$Z$143,MATCH($A41,PRESEASON!$A$6:$A$143,0))="","",INDEX(PRESEASON!$Z$6:$Z$143,MATCH($A41,PRESEASON!$A$6:$A$143,0)))))</f>
        <v/>
      </c>
      <c r="F41">
        <f>IF($A41="","",SUMIFS(CLEAN!$AB$6:$AB$1005,CLEAN!$P$6:$P$1005,$A41)+SUMIFS(CLEAN!$AC$6:$AC$1005,CLEAN!$N$6:$N$1005,$A41))</f>
        <v/>
      </c>
      <c r="G41">
        <f>IF(OR($A41="",$F41=""),"",IF(MIN($F41,9)&gt;=9,SETTINGS!$C$46,INDEX(SETTINGS!$C$37:$C$46,INT(MIN($F41,9))+1)+(MIN($F41,9)-INT(MIN($F41,9)))*(INDEX(SETTINGS!$C$37:$C$46,INT(MIN($F41,9))+2)-INDEX(SETTINGS!$C$37:$C$46,INT(MIN($F41,9))+1))))</f>
        <v/>
      </c>
      <c r="H41">
        <f>IF($A41="","",IF(ISNA(MATCH($A41,CALC!$A$6:$A$143,0)),"",IF(INDEX(CALC!$H$6:$H$143,MATCH($A41,CALC!$A$6:$A$143,0))="","",INDEX(CALC!$H$6:$H$143,MATCH($A41,CALC!$A$6:$A$143,0)))))</f>
        <v/>
      </c>
      <c r="I41">
        <f>IF($E41="","",IF(OR($H41="",$F41=0,$F41=""),$E41,$G41*$E41+(1-$G41)*$H41))</f>
        <v/>
      </c>
      <c r="J41">
        <f>IF(OR($A41="",SETTINGS!$B$4="",SETTINGS!$B$4&lt;=1),"",IF(COUNTIFS(HISTORY!$A$6:$A$3005,SETTINGS!$B$4-1,HISTORY!$B$6:$B$3005,$A41)=1,SUMIFS(HISTORY!$C$6:$C$3005,HISTORY!$A$6:$A$3005,SETTINGS!$B$4-1,HISTORY!$B$6:$B$3005,$A41),""))</f>
        <v/>
      </c>
      <c r="K41">
        <f>IF($I41="","",IF(ISNUMBER($J41),$J41+MAX(-SETTINGS!$B$12,MIN(SETTINGS!$B$12,$I41-$J41)),$I41))</f>
        <v/>
      </c>
      <c r="O41">
        <f>IF($A41="","",IF(ISNUMBER($L41),$L41,IF($K41="","",$K41)))</f>
        <v/>
      </c>
      <c r="P41">
        <f>IF($A41="","",IF(ISNUMBER($L41),"OVERRIDE","MODEL"))</f>
        <v/>
      </c>
      <c r="Q41">
        <f>IF($A41="","",SETTINGS!$B$6)</f>
        <v/>
      </c>
      <c r="S41">
        <f>IF($A41="","",IF(ISNUMBER($R41),$R41,$Q41))</f>
        <v/>
      </c>
      <c r="W41">
        <f>IF($A41="","",SUMIFS(CLEAN!$AD$6:$AD$1005,CLEAN!$P$6:$P$1005,$A41)+SUMIFS(CLEAN!$AE$6:$AE$1005,CLEAN!$N$6:$N$1005,$A41))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MAP'!$C42)</f>
        <v/>
      </c>
      <c r="D42">
        <f>IF('TEAM MAP'!$A42="","",'TEAM MAP'!$E42)</f>
        <v/>
      </c>
      <c r="E42">
        <f>IF($A42="","",IF(ISNA(MATCH($A42,PRESEASON!$A$6:$A$143,0)),"",IF(INDEX(PRESEASON!$Z$6:$Z$143,MATCH($A42,PRESEASON!$A$6:$A$143,0))="","",INDEX(PRESEASON!$Z$6:$Z$143,MATCH($A42,PRESEASON!$A$6:$A$143,0)))))</f>
        <v/>
      </c>
      <c r="F42">
        <f>IF($A42="","",SUMIFS(CLEAN!$AB$6:$AB$1005,CLEAN!$P$6:$P$1005,$A42)+SUMIFS(CLEAN!$AC$6:$AC$1005,CLEAN!$N$6:$N$1005,$A42))</f>
        <v/>
      </c>
      <c r="G42">
        <f>IF(OR($A42="",$F42=""),"",IF(MIN($F42,9)&gt;=9,SETTINGS!$C$46,INDEX(SETTINGS!$C$37:$C$46,INT(MIN($F42,9))+1)+(MIN($F42,9)-INT(MIN($F42,9)))*(INDEX(SETTINGS!$C$37:$C$46,INT(MIN($F42,9))+2)-INDEX(SETTINGS!$C$37:$C$46,INT(MIN($F42,9))+1))))</f>
        <v/>
      </c>
      <c r="H42">
        <f>IF($A42="","",IF(ISNA(MATCH($A42,CALC!$A$6:$A$143,0)),"",IF(INDEX(CALC!$H$6:$H$143,MATCH($A42,CALC!$A$6:$A$143,0))="","",INDEX(CALC!$H$6:$H$143,MATCH($A42,CALC!$A$6:$A$143,0)))))</f>
        <v/>
      </c>
      <c r="I42">
        <f>IF($E42="","",IF(OR($H42="",$F42=0,$F42=""),$E42,$G42*$E42+(1-$G42)*$H42))</f>
        <v/>
      </c>
      <c r="J42">
        <f>IF(OR($A42="",SETTINGS!$B$4="",SETTINGS!$B$4&lt;=1),"",IF(COUNTIFS(HISTORY!$A$6:$A$3005,SETTINGS!$B$4-1,HISTORY!$B$6:$B$3005,$A42)=1,SUMIFS(HISTORY!$C$6:$C$3005,HISTORY!$A$6:$A$3005,SETTINGS!$B$4-1,HISTORY!$B$6:$B$3005,$A42),""))</f>
        <v/>
      </c>
      <c r="K42">
        <f>IF($I42="","",IF(ISNUMBER($J42),$J42+MAX(-SETTINGS!$B$12,MIN(SETTINGS!$B$12,$I42-$J42)),$I42))</f>
        <v/>
      </c>
      <c r="O42">
        <f>IF($A42="","",IF(ISNUMBER($L42),$L42,IF($K42="","",$K42)))</f>
        <v/>
      </c>
      <c r="P42">
        <f>IF($A42="","",IF(ISNUMBER($L42),"OVERRIDE","MODEL"))</f>
        <v/>
      </c>
      <c r="Q42">
        <f>IF($A42="","",SETTINGS!$B$6)</f>
        <v/>
      </c>
      <c r="S42">
        <f>IF($A42="","",IF(ISNUMBER($R42),$R42,$Q42))</f>
        <v/>
      </c>
      <c r="W42">
        <f>IF($A42="","",SUMIFS(CLEAN!$AD$6:$AD$1005,CLEAN!$P$6:$P$1005,$A42)+SUMIFS(CLEAN!$AE$6:$AE$1005,CLEAN!$N$6:$N$1005,$A42))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MAP'!$C43)</f>
        <v/>
      </c>
      <c r="D43">
        <f>IF('TEAM MAP'!$A43="","",'TEAM MAP'!$E43)</f>
        <v/>
      </c>
      <c r="E43">
        <f>IF($A43="","",IF(ISNA(MATCH($A43,PRESEASON!$A$6:$A$143,0)),"",IF(INDEX(PRESEASON!$Z$6:$Z$143,MATCH($A43,PRESEASON!$A$6:$A$143,0))="","",INDEX(PRESEASON!$Z$6:$Z$143,MATCH($A43,PRESEASON!$A$6:$A$143,0)))))</f>
        <v/>
      </c>
      <c r="F43">
        <f>IF($A43="","",SUMIFS(CLEAN!$AB$6:$AB$1005,CLEAN!$P$6:$P$1005,$A43)+SUMIFS(CLEAN!$AC$6:$AC$1005,CLEAN!$N$6:$N$1005,$A43))</f>
        <v/>
      </c>
      <c r="G43">
        <f>IF(OR($A43="",$F43=""),"",IF(MIN($F43,9)&gt;=9,SETTINGS!$C$46,INDEX(SETTINGS!$C$37:$C$46,INT(MIN($F43,9))+1)+(MIN($F43,9)-INT(MIN($F43,9)))*(INDEX(SETTINGS!$C$37:$C$46,INT(MIN($F43,9))+2)-INDEX(SETTINGS!$C$37:$C$46,INT(MIN($F43,9))+1))))</f>
        <v/>
      </c>
      <c r="H43">
        <f>IF($A43="","",IF(ISNA(MATCH($A43,CALC!$A$6:$A$143,0)),"",IF(INDEX(CALC!$H$6:$H$143,MATCH($A43,CALC!$A$6:$A$143,0))="","",INDEX(CALC!$H$6:$H$143,MATCH($A43,CALC!$A$6:$A$143,0)))))</f>
        <v/>
      </c>
      <c r="I43">
        <f>IF($E43="","",IF(OR($H43="",$F43=0,$F43=""),$E43,$G43*$E43+(1-$G43)*$H43))</f>
        <v/>
      </c>
      <c r="J43">
        <f>IF(OR($A43="",SETTINGS!$B$4="",SETTINGS!$B$4&lt;=1),"",IF(COUNTIFS(HISTORY!$A$6:$A$3005,SETTINGS!$B$4-1,HISTORY!$B$6:$B$3005,$A43)=1,SUMIFS(HISTORY!$C$6:$C$3005,HISTORY!$A$6:$A$3005,SETTINGS!$B$4-1,HISTORY!$B$6:$B$3005,$A43),""))</f>
        <v/>
      </c>
      <c r="K43">
        <f>IF($I43="","",IF(ISNUMBER($J43),$J43+MAX(-SETTINGS!$B$12,MIN(SETTINGS!$B$12,$I43-$J43)),$I43))</f>
        <v/>
      </c>
      <c r="O43">
        <f>IF($A43="","",IF(ISNUMBER($L43),$L43,IF($K43="","",$K43)))</f>
        <v/>
      </c>
      <c r="P43">
        <f>IF($A43="","",IF(ISNUMBER($L43),"OVERRIDE","MODEL"))</f>
        <v/>
      </c>
      <c r="Q43">
        <f>IF($A43="","",SETTINGS!$B$6)</f>
        <v/>
      </c>
      <c r="S43">
        <f>IF($A43="","",IF(ISNUMBER($R43),$R43,$Q43))</f>
        <v/>
      </c>
      <c r="W43">
        <f>IF($A43="","",SUMIFS(CLEAN!$AD$6:$AD$1005,CLEAN!$P$6:$P$1005,$A43)+SUMIFS(CLEAN!$AE$6:$AE$1005,CLEAN!$N$6:$N$1005,$A43))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MAP'!$C44)</f>
        <v/>
      </c>
      <c r="D44">
        <f>IF('TEAM MAP'!$A44="","",'TEAM MAP'!$E44)</f>
        <v/>
      </c>
      <c r="E44">
        <f>IF($A44="","",IF(ISNA(MATCH($A44,PRESEASON!$A$6:$A$143,0)),"",IF(INDEX(PRESEASON!$Z$6:$Z$143,MATCH($A44,PRESEASON!$A$6:$A$143,0))="","",INDEX(PRESEASON!$Z$6:$Z$143,MATCH($A44,PRESEASON!$A$6:$A$143,0)))))</f>
        <v/>
      </c>
      <c r="F44">
        <f>IF($A44="","",SUMIFS(CLEAN!$AB$6:$AB$1005,CLEAN!$P$6:$P$1005,$A44)+SUMIFS(CLEAN!$AC$6:$AC$1005,CLEAN!$N$6:$N$1005,$A44))</f>
        <v/>
      </c>
      <c r="G44">
        <f>IF(OR($A44="",$F44=""),"",IF(MIN($F44,9)&gt;=9,SETTINGS!$C$46,INDEX(SETTINGS!$C$37:$C$46,INT(MIN($F44,9))+1)+(MIN($F44,9)-INT(MIN($F44,9)))*(INDEX(SETTINGS!$C$37:$C$46,INT(MIN($F44,9))+2)-INDEX(SETTINGS!$C$37:$C$46,INT(MIN($F44,9))+1))))</f>
        <v/>
      </c>
      <c r="H44">
        <f>IF($A44="","",IF(ISNA(MATCH($A44,CALC!$A$6:$A$143,0)),"",IF(INDEX(CALC!$H$6:$H$143,MATCH($A44,CALC!$A$6:$A$143,0))="","",INDEX(CALC!$H$6:$H$143,MATCH($A44,CALC!$A$6:$A$143,0)))))</f>
        <v/>
      </c>
      <c r="I44">
        <f>IF($E44="","",IF(OR($H44="",$F44=0,$F44=""),$E44,$G44*$E44+(1-$G44)*$H44))</f>
        <v/>
      </c>
      <c r="J44">
        <f>IF(OR($A44="",SETTINGS!$B$4="",SETTINGS!$B$4&lt;=1),"",IF(COUNTIFS(HISTORY!$A$6:$A$3005,SETTINGS!$B$4-1,HISTORY!$B$6:$B$3005,$A44)=1,SUMIFS(HISTORY!$C$6:$C$3005,HISTORY!$A$6:$A$3005,SETTINGS!$B$4-1,HISTORY!$B$6:$B$3005,$A44),""))</f>
        <v/>
      </c>
      <c r="K44">
        <f>IF($I44="","",IF(ISNUMBER($J44),$J44+MAX(-SETTINGS!$B$12,MIN(SETTINGS!$B$12,$I44-$J44)),$I44))</f>
        <v/>
      </c>
      <c r="O44">
        <f>IF($A44="","",IF(ISNUMBER($L44),$L44,IF($K44="","",$K44)))</f>
        <v/>
      </c>
      <c r="P44">
        <f>IF($A44="","",IF(ISNUMBER($L44),"OVERRIDE","MODEL"))</f>
        <v/>
      </c>
      <c r="Q44">
        <f>IF($A44="","",SETTINGS!$B$6)</f>
        <v/>
      </c>
      <c r="S44">
        <f>IF($A44="","",IF(ISNUMBER($R44),$R44,$Q44))</f>
        <v/>
      </c>
      <c r="W44">
        <f>IF($A44="","",SUMIFS(CLEAN!$AD$6:$AD$1005,CLEAN!$P$6:$P$1005,$A44)+SUMIFS(CLEAN!$AE$6:$AE$1005,CLEAN!$N$6:$N$1005,$A44))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MAP'!$C45)</f>
        <v/>
      </c>
      <c r="D45">
        <f>IF('TEAM MAP'!$A45="","",'TEAM MAP'!$E45)</f>
        <v/>
      </c>
      <c r="E45">
        <f>IF($A45="","",IF(ISNA(MATCH($A45,PRESEASON!$A$6:$A$143,0)),"",IF(INDEX(PRESEASON!$Z$6:$Z$143,MATCH($A45,PRESEASON!$A$6:$A$143,0))="","",INDEX(PRESEASON!$Z$6:$Z$143,MATCH($A45,PRESEASON!$A$6:$A$143,0)))))</f>
        <v/>
      </c>
      <c r="F45">
        <f>IF($A45="","",SUMIFS(CLEAN!$AB$6:$AB$1005,CLEAN!$P$6:$P$1005,$A45)+SUMIFS(CLEAN!$AC$6:$AC$1005,CLEAN!$N$6:$N$1005,$A45))</f>
        <v/>
      </c>
      <c r="G45">
        <f>IF(OR($A45="",$F45=""),"",IF(MIN($F45,9)&gt;=9,SETTINGS!$C$46,INDEX(SETTINGS!$C$37:$C$46,INT(MIN($F45,9))+1)+(MIN($F45,9)-INT(MIN($F45,9)))*(INDEX(SETTINGS!$C$37:$C$46,INT(MIN($F45,9))+2)-INDEX(SETTINGS!$C$37:$C$46,INT(MIN($F45,9))+1))))</f>
        <v/>
      </c>
      <c r="H45">
        <f>IF($A45="","",IF(ISNA(MATCH($A45,CALC!$A$6:$A$143,0)),"",IF(INDEX(CALC!$H$6:$H$143,MATCH($A45,CALC!$A$6:$A$143,0))="","",INDEX(CALC!$H$6:$H$143,MATCH($A45,CALC!$A$6:$A$143,0)))))</f>
        <v/>
      </c>
      <c r="I45">
        <f>IF($E45="","",IF(OR($H45="",$F45=0,$F45=""),$E45,$G45*$E45+(1-$G45)*$H45))</f>
        <v/>
      </c>
      <c r="J45">
        <f>IF(OR($A45="",SETTINGS!$B$4="",SETTINGS!$B$4&lt;=1),"",IF(COUNTIFS(HISTORY!$A$6:$A$3005,SETTINGS!$B$4-1,HISTORY!$B$6:$B$3005,$A45)=1,SUMIFS(HISTORY!$C$6:$C$3005,HISTORY!$A$6:$A$3005,SETTINGS!$B$4-1,HISTORY!$B$6:$B$3005,$A45),""))</f>
        <v/>
      </c>
      <c r="K45">
        <f>IF($I45="","",IF(ISNUMBER($J45),$J45+MAX(-SETTINGS!$B$12,MIN(SETTINGS!$B$12,$I45-$J45)),$I45))</f>
        <v/>
      </c>
      <c r="O45">
        <f>IF($A45="","",IF(ISNUMBER($L45),$L45,IF($K45="","",$K45)))</f>
        <v/>
      </c>
      <c r="P45">
        <f>IF($A45="","",IF(ISNUMBER($L45),"OVERRIDE","MODEL"))</f>
        <v/>
      </c>
      <c r="Q45">
        <f>IF($A45="","",SETTINGS!$B$6)</f>
        <v/>
      </c>
      <c r="S45">
        <f>IF($A45="","",IF(ISNUMBER($R45),$R45,$Q45))</f>
        <v/>
      </c>
      <c r="W45">
        <f>IF($A45="","",SUMIFS(CLEAN!$AD$6:$AD$1005,CLEAN!$P$6:$P$1005,$A45)+SUMIFS(CLEAN!$AE$6:$AE$1005,CLEAN!$N$6:$N$1005,$A45))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MAP'!$C46)</f>
        <v/>
      </c>
      <c r="D46">
        <f>IF('TEAM MAP'!$A46="","",'TEAM MAP'!$E46)</f>
        <v/>
      </c>
      <c r="E46">
        <f>IF($A46="","",IF(ISNA(MATCH($A46,PRESEASON!$A$6:$A$143,0)),"",IF(INDEX(PRESEASON!$Z$6:$Z$143,MATCH($A46,PRESEASON!$A$6:$A$143,0))="","",INDEX(PRESEASON!$Z$6:$Z$143,MATCH($A46,PRESEASON!$A$6:$A$143,0)))))</f>
        <v/>
      </c>
      <c r="F46">
        <f>IF($A46="","",SUMIFS(CLEAN!$AB$6:$AB$1005,CLEAN!$P$6:$P$1005,$A46)+SUMIFS(CLEAN!$AC$6:$AC$1005,CLEAN!$N$6:$N$1005,$A46))</f>
        <v/>
      </c>
      <c r="G46">
        <f>IF(OR($A46="",$F46=""),"",IF(MIN($F46,9)&gt;=9,SETTINGS!$C$46,INDEX(SETTINGS!$C$37:$C$46,INT(MIN($F46,9))+1)+(MIN($F46,9)-INT(MIN($F46,9)))*(INDEX(SETTINGS!$C$37:$C$46,INT(MIN($F46,9))+2)-INDEX(SETTINGS!$C$37:$C$46,INT(MIN($F46,9))+1))))</f>
        <v/>
      </c>
      <c r="H46">
        <f>IF($A46="","",IF(ISNA(MATCH($A46,CALC!$A$6:$A$143,0)),"",IF(INDEX(CALC!$H$6:$H$143,MATCH($A46,CALC!$A$6:$A$143,0))="","",INDEX(CALC!$H$6:$H$143,MATCH($A46,CALC!$A$6:$A$143,0)))))</f>
        <v/>
      </c>
      <c r="I46">
        <f>IF($E46="","",IF(OR($H46="",$F46=0,$F46=""),$E46,$G46*$E46+(1-$G46)*$H46))</f>
        <v/>
      </c>
      <c r="J46">
        <f>IF(OR($A46="",SETTINGS!$B$4="",SETTINGS!$B$4&lt;=1),"",IF(COUNTIFS(HISTORY!$A$6:$A$3005,SETTINGS!$B$4-1,HISTORY!$B$6:$B$3005,$A46)=1,SUMIFS(HISTORY!$C$6:$C$3005,HISTORY!$A$6:$A$3005,SETTINGS!$B$4-1,HISTORY!$B$6:$B$3005,$A46),""))</f>
        <v/>
      </c>
      <c r="K46">
        <f>IF($I46="","",IF(ISNUMBER($J46),$J46+MAX(-SETTINGS!$B$12,MIN(SETTINGS!$B$12,$I46-$J46)),$I46))</f>
        <v/>
      </c>
      <c r="O46">
        <f>IF($A46="","",IF(ISNUMBER($L46),$L46,IF($K46="","",$K46)))</f>
        <v/>
      </c>
      <c r="P46">
        <f>IF($A46="","",IF(ISNUMBER($L46),"OVERRIDE","MODEL"))</f>
        <v/>
      </c>
      <c r="Q46">
        <f>IF($A46="","",SETTINGS!$B$6)</f>
        <v/>
      </c>
      <c r="S46">
        <f>IF($A46="","",IF(ISNUMBER($R46),$R46,$Q46))</f>
        <v/>
      </c>
      <c r="W46">
        <f>IF($A46="","",SUMIFS(CLEAN!$AD$6:$AD$1005,CLEAN!$P$6:$P$1005,$A46)+SUMIFS(CLEAN!$AE$6:$AE$1005,CLEAN!$N$6:$N$1005,$A46))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MAP'!$C47)</f>
        <v/>
      </c>
      <c r="D47">
        <f>IF('TEAM MAP'!$A47="","",'TEAM MAP'!$E47)</f>
        <v/>
      </c>
      <c r="E47">
        <f>IF($A47="","",IF(ISNA(MATCH($A47,PRESEASON!$A$6:$A$143,0)),"",IF(INDEX(PRESEASON!$Z$6:$Z$143,MATCH($A47,PRESEASON!$A$6:$A$143,0))="","",INDEX(PRESEASON!$Z$6:$Z$143,MATCH($A47,PRESEASON!$A$6:$A$143,0)))))</f>
        <v/>
      </c>
      <c r="F47">
        <f>IF($A47="","",SUMIFS(CLEAN!$AB$6:$AB$1005,CLEAN!$P$6:$P$1005,$A47)+SUMIFS(CLEAN!$AC$6:$AC$1005,CLEAN!$N$6:$N$1005,$A47))</f>
        <v/>
      </c>
      <c r="G47">
        <f>IF(OR($A47="",$F47=""),"",IF(MIN($F47,9)&gt;=9,SETTINGS!$C$46,INDEX(SETTINGS!$C$37:$C$46,INT(MIN($F47,9))+1)+(MIN($F47,9)-INT(MIN($F47,9)))*(INDEX(SETTINGS!$C$37:$C$46,INT(MIN($F47,9))+2)-INDEX(SETTINGS!$C$37:$C$46,INT(MIN($F47,9))+1))))</f>
        <v/>
      </c>
      <c r="H47">
        <f>IF($A47="","",IF(ISNA(MATCH($A47,CALC!$A$6:$A$143,0)),"",IF(INDEX(CALC!$H$6:$H$143,MATCH($A47,CALC!$A$6:$A$143,0))="","",INDEX(CALC!$H$6:$H$143,MATCH($A47,CALC!$A$6:$A$143,0)))))</f>
        <v/>
      </c>
      <c r="I47">
        <f>IF($E47="","",IF(OR($H47="",$F47=0,$F47=""),$E47,$G47*$E47+(1-$G47)*$H47))</f>
        <v/>
      </c>
      <c r="J47">
        <f>IF(OR($A47="",SETTINGS!$B$4="",SETTINGS!$B$4&lt;=1),"",IF(COUNTIFS(HISTORY!$A$6:$A$3005,SETTINGS!$B$4-1,HISTORY!$B$6:$B$3005,$A47)=1,SUMIFS(HISTORY!$C$6:$C$3005,HISTORY!$A$6:$A$3005,SETTINGS!$B$4-1,HISTORY!$B$6:$B$3005,$A47),""))</f>
        <v/>
      </c>
      <c r="K47">
        <f>IF($I47="","",IF(ISNUMBER($J47),$J47+MAX(-SETTINGS!$B$12,MIN(SETTINGS!$B$12,$I47-$J47)),$I47))</f>
        <v/>
      </c>
      <c r="O47">
        <f>IF($A47="","",IF(ISNUMBER($L47),$L47,IF($K47="","",$K47)))</f>
        <v/>
      </c>
      <c r="P47">
        <f>IF($A47="","",IF(ISNUMBER($L47),"OVERRIDE","MODEL"))</f>
        <v/>
      </c>
      <c r="Q47">
        <f>IF($A47="","",SETTINGS!$B$6)</f>
        <v/>
      </c>
      <c r="S47">
        <f>IF($A47="","",IF(ISNUMBER($R47),$R47,$Q47))</f>
        <v/>
      </c>
      <c r="W47">
        <f>IF($A47="","",SUMIFS(CLEAN!$AD$6:$AD$1005,CLEAN!$P$6:$P$1005,$A47)+SUMIFS(CLEAN!$AE$6:$AE$1005,CLEAN!$N$6:$N$1005,$A47))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MAP'!$C48)</f>
        <v/>
      </c>
      <c r="D48">
        <f>IF('TEAM MAP'!$A48="","",'TEAM MAP'!$E48)</f>
        <v/>
      </c>
      <c r="E48">
        <f>IF($A48="","",IF(ISNA(MATCH($A48,PRESEASON!$A$6:$A$143,0)),"",IF(INDEX(PRESEASON!$Z$6:$Z$143,MATCH($A48,PRESEASON!$A$6:$A$143,0))="","",INDEX(PRESEASON!$Z$6:$Z$143,MATCH($A48,PRESEASON!$A$6:$A$143,0)))))</f>
        <v/>
      </c>
      <c r="F48">
        <f>IF($A48="","",SUMIFS(CLEAN!$AB$6:$AB$1005,CLEAN!$P$6:$P$1005,$A48)+SUMIFS(CLEAN!$AC$6:$AC$1005,CLEAN!$N$6:$N$1005,$A48))</f>
        <v/>
      </c>
      <c r="G48">
        <f>IF(OR($A48="",$F48=""),"",IF(MIN($F48,9)&gt;=9,SETTINGS!$C$46,INDEX(SETTINGS!$C$37:$C$46,INT(MIN($F48,9))+1)+(MIN($F48,9)-INT(MIN($F48,9)))*(INDEX(SETTINGS!$C$37:$C$46,INT(MIN($F48,9))+2)-INDEX(SETTINGS!$C$37:$C$46,INT(MIN($F48,9))+1))))</f>
        <v/>
      </c>
      <c r="H48">
        <f>IF($A48="","",IF(ISNA(MATCH($A48,CALC!$A$6:$A$143,0)),"",IF(INDEX(CALC!$H$6:$H$143,MATCH($A48,CALC!$A$6:$A$143,0))="","",INDEX(CALC!$H$6:$H$143,MATCH($A48,CALC!$A$6:$A$143,0)))))</f>
        <v/>
      </c>
      <c r="I48">
        <f>IF($E48="","",IF(OR($H48="",$F48=0,$F48=""),$E48,$G48*$E48+(1-$G48)*$H48))</f>
        <v/>
      </c>
      <c r="J48">
        <f>IF(OR($A48="",SETTINGS!$B$4="",SETTINGS!$B$4&lt;=1),"",IF(COUNTIFS(HISTORY!$A$6:$A$3005,SETTINGS!$B$4-1,HISTORY!$B$6:$B$3005,$A48)=1,SUMIFS(HISTORY!$C$6:$C$3005,HISTORY!$A$6:$A$3005,SETTINGS!$B$4-1,HISTORY!$B$6:$B$3005,$A48),""))</f>
        <v/>
      </c>
      <c r="K48">
        <f>IF($I48="","",IF(ISNUMBER($J48),$J48+MAX(-SETTINGS!$B$12,MIN(SETTINGS!$B$12,$I48-$J48)),$I48))</f>
        <v/>
      </c>
      <c r="O48">
        <f>IF($A48="","",IF(ISNUMBER($L48),$L48,IF($K48="","",$K48)))</f>
        <v/>
      </c>
      <c r="P48">
        <f>IF($A48="","",IF(ISNUMBER($L48),"OVERRIDE","MODEL"))</f>
        <v/>
      </c>
      <c r="Q48">
        <f>IF($A48="","",SETTINGS!$B$6)</f>
        <v/>
      </c>
      <c r="S48">
        <f>IF($A48="","",IF(ISNUMBER($R48),$R48,$Q48))</f>
        <v/>
      </c>
      <c r="W48">
        <f>IF($A48="","",SUMIFS(CLEAN!$AD$6:$AD$1005,CLEAN!$P$6:$P$1005,$A48)+SUMIFS(CLEAN!$AE$6:$AE$1005,CLEAN!$N$6:$N$1005,$A48))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MAP'!$C49)</f>
        <v/>
      </c>
      <c r="D49">
        <f>IF('TEAM MAP'!$A49="","",'TEAM MAP'!$E49)</f>
        <v/>
      </c>
      <c r="E49">
        <f>IF($A49="","",IF(ISNA(MATCH($A49,PRESEASON!$A$6:$A$143,0)),"",IF(INDEX(PRESEASON!$Z$6:$Z$143,MATCH($A49,PRESEASON!$A$6:$A$143,0))="","",INDEX(PRESEASON!$Z$6:$Z$143,MATCH($A49,PRESEASON!$A$6:$A$143,0)))))</f>
        <v/>
      </c>
      <c r="F49">
        <f>IF($A49="","",SUMIFS(CLEAN!$AB$6:$AB$1005,CLEAN!$P$6:$P$1005,$A49)+SUMIFS(CLEAN!$AC$6:$AC$1005,CLEAN!$N$6:$N$1005,$A49))</f>
        <v/>
      </c>
      <c r="G49">
        <f>IF(OR($A49="",$F49=""),"",IF(MIN($F49,9)&gt;=9,SETTINGS!$C$46,INDEX(SETTINGS!$C$37:$C$46,INT(MIN($F49,9))+1)+(MIN($F49,9)-INT(MIN($F49,9)))*(INDEX(SETTINGS!$C$37:$C$46,INT(MIN($F49,9))+2)-INDEX(SETTINGS!$C$37:$C$46,INT(MIN($F49,9))+1))))</f>
        <v/>
      </c>
      <c r="H49">
        <f>IF($A49="","",IF(ISNA(MATCH($A49,CALC!$A$6:$A$143,0)),"",IF(INDEX(CALC!$H$6:$H$143,MATCH($A49,CALC!$A$6:$A$143,0))="","",INDEX(CALC!$H$6:$H$143,MATCH($A49,CALC!$A$6:$A$143,0)))))</f>
        <v/>
      </c>
      <c r="I49">
        <f>IF($E49="","",IF(OR($H49="",$F49=0,$F49=""),$E49,$G49*$E49+(1-$G49)*$H49))</f>
        <v/>
      </c>
      <c r="J49">
        <f>IF(OR($A49="",SETTINGS!$B$4="",SETTINGS!$B$4&lt;=1),"",IF(COUNTIFS(HISTORY!$A$6:$A$3005,SETTINGS!$B$4-1,HISTORY!$B$6:$B$3005,$A49)=1,SUMIFS(HISTORY!$C$6:$C$3005,HISTORY!$A$6:$A$3005,SETTINGS!$B$4-1,HISTORY!$B$6:$B$3005,$A49),""))</f>
        <v/>
      </c>
      <c r="K49">
        <f>IF($I49="","",IF(ISNUMBER($J49),$J49+MAX(-SETTINGS!$B$12,MIN(SETTINGS!$B$12,$I49-$J49)),$I49))</f>
        <v/>
      </c>
      <c r="O49">
        <f>IF($A49="","",IF(ISNUMBER($L49),$L49,IF($K49="","",$K49)))</f>
        <v/>
      </c>
      <c r="P49">
        <f>IF($A49="","",IF(ISNUMBER($L49),"OVERRIDE","MODEL"))</f>
        <v/>
      </c>
      <c r="Q49">
        <f>IF($A49="","",SETTINGS!$B$6)</f>
        <v/>
      </c>
      <c r="S49">
        <f>IF($A49="","",IF(ISNUMBER($R49),$R49,$Q49))</f>
        <v/>
      </c>
      <c r="W49">
        <f>IF($A49="","",SUMIFS(CLEAN!$AD$6:$AD$1005,CLEAN!$P$6:$P$1005,$A49)+SUMIFS(CLEAN!$AE$6:$AE$1005,CLEAN!$N$6:$N$1005,$A49))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MAP'!$C50)</f>
        <v/>
      </c>
      <c r="D50">
        <f>IF('TEAM MAP'!$A50="","",'TEAM MAP'!$E50)</f>
        <v/>
      </c>
      <c r="E50">
        <f>IF($A50="","",IF(ISNA(MATCH($A50,PRESEASON!$A$6:$A$143,0)),"",IF(INDEX(PRESEASON!$Z$6:$Z$143,MATCH($A50,PRESEASON!$A$6:$A$143,0))="","",INDEX(PRESEASON!$Z$6:$Z$143,MATCH($A50,PRESEASON!$A$6:$A$143,0)))))</f>
        <v/>
      </c>
      <c r="F50">
        <f>IF($A50="","",SUMIFS(CLEAN!$AB$6:$AB$1005,CLEAN!$P$6:$P$1005,$A50)+SUMIFS(CLEAN!$AC$6:$AC$1005,CLEAN!$N$6:$N$1005,$A50))</f>
        <v/>
      </c>
      <c r="G50">
        <f>IF(OR($A50="",$F50=""),"",IF(MIN($F50,9)&gt;=9,SETTINGS!$C$46,INDEX(SETTINGS!$C$37:$C$46,INT(MIN($F50,9))+1)+(MIN($F50,9)-INT(MIN($F50,9)))*(INDEX(SETTINGS!$C$37:$C$46,INT(MIN($F50,9))+2)-INDEX(SETTINGS!$C$37:$C$46,INT(MIN($F50,9))+1))))</f>
        <v/>
      </c>
      <c r="H50">
        <f>IF($A50="","",IF(ISNA(MATCH($A50,CALC!$A$6:$A$143,0)),"",IF(INDEX(CALC!$H$6:$H$143,MATCH($A50,CALC!$A$6:$A$143,0))="","",INDEX(CALC!$H$6:$H$143,MATCH($A50,CALC!$A$6:$A$143,0)))))</f>
        <v/>
      </c>
      <c r="I50">
        <f>IF($E50="","",IF(OR($H50="",$F50=0,$F50=""),$E50,$G50*$E50+(1-$G50)*$H50))</f>
        <v/>
      </c>
      <c r="J50">
        <f>IF(OR($A50="",SETTINGS!$B$4="",SETTINGS!$B$4&lt;=1),"",IF(COUNTIFS(HISTORY!$A$6:$A$3005,SETTINGS!$B$4-1,HISTORY!$B$6:$B$3005,$A50)=1,SUMIFS(HISTORY!$C$6:$C$3005,HISTORY!$A$6:$A$3005,SETTINGS!$B$4-1,HISTORY!$B$6:$B$3005,$A50),""))</f>
        <v/>
      </c>
      <c r="K50">
        <f>IF($I50="","",IF(ISNUMBER($J50),$J50+MAX(-SETTINGS!$B$12,MIN(SETTINGS!$B$12,$I50-$J50)),$I50))</f>
        <v/>
      </c>
      <c r="O50">
        <f>IF($A50="","",IF(ISNUMBER($L50),$L50,IF($K50="","",$K50)))</f>
        <v/>
      </c>
      <c r="P50">
        <f>IF($A50="","",IF(ISNUMBER($L50),"OVERRIDE","MODEL"))</f>
        <v/>
      </c>
      <c r="Q50">
        <f>IF($A50="","",SETTINGS!$B$6)</f>
        <v/>
      </c>
      <c r="S50">
        <f>IF($A50="","",IF(ISNUMBER($R50),$R50,$Q50))</f>
        <v/>
      </c>
      <c r="W50">
        <f>IF($A50="","",SUMIFS(CLEAN!$AD$6:$AD$1005,CLEAN!$P$6:$P$1005,$A50)+SUMIFS(CLEAN!$AE$6:$AE$1005,CLEAN!$N$6:$N$1005,$A50))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MAP'!$C51)</f>
        <v/>
      </c>
      <c r="D51">
        <f>IF('TEAM MAP'!$A51="","",'TEAM MAP'!$E51)</f>
        <v/>
      </c>
      <c r="E51">
        <f>IF($A51="","",IF(ISNA(MATCH($A51,PRESEASON!$A$6:$A$143,0)),"",IF(INDEX(PRESEASON!$Z$6:$Z$143,MATCH($A51,PRESEASON!$A$6:$A$143,0))="","",INDEX(PRESEASON!$Z$6:$Z$143,MATCH($A51,PRESEASON!$A$6:$A$143,0)))))</f>
        <v/>
      </c>
      <c r="F51">
        <f>IF($A51="","",SUMIFS(CLEAN!$AB$6:$AB$1005,CLEAN!$P$6:$P$1005,$A51)+SUMIFS(CLEAN!$AC$6:$AC$1005,CLEAN!$N$6:$N$1005,$A51))</f>
        <v/>
      </c>
      <c r="G51">
        <f>IF(OR($A51="",$F51=""),"",IF(MIN($F51,9)&gt;=9,SETTINGS!$C$46,INDEX(SETTINGS!$C$37:$C$46,INT(MIN($F51,9))+1)+(MIN($F51,9)-INT(MIN($F51,9)))*(INDEX(SETTINGS!$C$37:$C$46,INT(MIN($F51,9))+2)-INDEX(SETTINGS!$C$37:$C$46,INT(MIN($F51,9))+1))))</f>
        <v/>
      </c>
      <c r="H51">
        <f>IF($A51="","",IF(ISNA(MATCH($A51,CALC!$A$6:$A$143,0)),"",IF(INDEX(CALC!$H$6:$H$143,MATCH($A51,CALC!$A$6:$A$143,0))="","",INDEX(CALC!$H$6:$H$143,MATCH($A51,CALC!$A$6:$A$143,0)))))</f>
        <v/>
      </c>
      <c r="I51">
        <f>IF($E51="","",IF(OR($H51="",$F51=0,$F51=""),$E51,$G51*$E51+(1-$G51)*$H51))</f>
        <v/>
      </c>
      <c r="J51">
        <f>IF(OR($A51="",SETTINGS!$B$4="",SETTINGS!$B$4&lt;=1),"",IF(COUNTIFS(HISTORY!$A$6:$A$3005,SETTINGS!$B$4-1,HISTORY!$B$6:$B$3005,$A51)=1,SUMIFS(HISTORY!$C$6:$C$3005,HISTORY!$A$6:$A$3005,SETTINGS!$B$4-1,HISTORY!$B$6:$B$3005,$A51),""))</f>
        <v/>
      </c>
      <c r="K51">
        <f>IF($I51="","",IF(ISNUMBER($J51),$J51+MAX(-SETTINGS!$B$12,MIN(SETTINGS!$B$12,$I51-$J51)),$I51))</f>
        <v/>
      </c>
      <c r="O51">
        <f>IF($A51="","",IF(ISNUMBER($L51),$L51,IF($K51="","",$K51)))</f>
        <v/>
      </c>
      <c r="P51">
        <f>IF($A51="","",IF(ISNUMBER($L51),"OVERRIDE","MODEL"))</f>
        <v/>
      </c>
      <c r="Q51">
        <f>IF($A51="","",SETTINGS!$B$6)</f>
        <v/>
      </c>
      <c r="S51">
        <f>IF($A51="","",IF(ISNUMBER($R51),$R51,$Q51))</f>
        <v/>
      </c>
      <c r="W51">
        <f>IF($A51="","",SUMIFS(CLEAN!$AD$6:$AD$1005,CLEAN!$P$6:$P$1005,$A51)+SUMIFS(CLEAN!$AE$6:$AE$1005,CLEAN!$N$6:$N$1005,$A51))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MAP'!$C52)</f>
        <v/>
      </c>
      <c r="D52">
        <f>IF('TEAM MAP'!$A52="","",'TEAM MAP'!$E52)</f>
        <v/>
      </c>
      <c r="E52">
        <f>IF($A52="","",IF(ISNA(MATCH($A52,PRESEASON!$A$6:$A$143,0)),"",IF(INDEX(PRESEASON!$Z$6:$Z$143,MATCH($A52,PRESEASON!$A$6:$A$143,0))="","",INDEX(PRESEASON!$Z$6:$Z$143,MATCH($A52,PRESEASON!$A$6:$A$143,0)))))</f>
        <v/>
      </c>
      <c r="F52">
        <f>IF($A52="","",SUMIFS(CLEAN!$AB$6:$AB$1005,CLEAN!$P$6:$P$1005,$A52)+SUMIFS(CLEAN!$AC$6:$AC$1005,CLEAN!$N$6:$N$1005,$A52))</f>
        <v/>
      </c>
      <c r="G52">
        <f>IF(OR($A52="",$F52=""),"",IF(MIN($F52,9)&gt;=9,SETTINGS!$C$46,INDEX(SETTINGS!$C$37:$C$46,INT(MIN($F52,9))+1)+(MIN($F52,9)-INT(MIN($F52,9)))*(INDEX(SETTINGS!$C$37:$C$46,INT(MIN($F52,9))+2)-INDEX(SETTINGS!$C$37:$C$46,INT(MIN($F52,9))+1))))</f>
        <v/>
      </c>
      <c r="H52">
        <f>IF($A52="","",IF(ISNA(MATCH($A52,CALC!$A$6:$A$143,0)),"",IF(INDEX(CALC!$H$6:$H$143,MATCH($A52,CALC!$A$6:$A$143,0))="","",INDEX(CALC!$H$6:$H$143,MATCH($A52,CALC!$A$6:$A$143,0)))))</f>
        <v/>
      </c>
      <c r="I52">
        <f>IF($E52="","",IF(OR($H52="",$F52=0,$F52=""),$E52,$G52*$E52+(1-$G52)*$H52))</f>
        <v/>
      </c>
      <c r="J52">
        <f>IF(OR($A52="",SETTINGS!$B$4="",SETTINGS!$B$4&lt;=1),"",IF(COUNTIFS(HISTORY!$A$6:$A$3005,SETTINGS!$B$4-1,HISTORY!$B$6:$B$3005,$A52)=1,SUMIFS(HISTORY!$C$6:$C$3005,HISTORY!$A$6:$A$3005,SETTINGS!$B$4-1,HISTORY!$B$6:$B$3005,$A52),""))</f>
        <v/>
      </c>
      <c r="K52">
        <f>IF($I52="","",IF(ISNUMBER($J52),$J52+MAX(-SETTINGS!$B$12,MIN(SETTINGS!$B$12,$I52-$J52)),$I52))</f>
        <v/>
      </c>
      <c r="O52">
        <f>IF($A52="","",IF(ISNUMBER($L52),$L52,IF($K52="","",$K52)))</f>
        <v/>
      </c>
      <c r="P52">
        <f>IF($A52="","",IF(ISNUMBER($L52),"OVERRIDE","MODEL"))</f>
        <v/>
      </c>
      <c r="Q52">
        <f>IF($A52="","",SETTINGS!$B$6)</f>
        <v/>
      </c>
      <c r="S52">
        <f>IF($A52="","",IF(ISNUMBER($R52),$R52,$Q52))</f>
        <v/>
      </c>
      <c r="W52">
        <f>IF($A52="","",SUMIFS(CLEAN!$AD$6:$AD$1005,CLEAN!$P$6:$P$1005,$A52)+SUMIFS(CLEAN!$AE$6:$AE$1005,CLEAN!$N$6:$N$1005,$A52))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MAP'!$C53)</f>
        <v/>
      </c>
      <c r="D53">
        <f>IF('TEAM MAP'!$A53="","",'TEAM MAP'!$E53)</f>
        <v/>
      </c>
      <c r="E53">
        <f>IF($A53="","",IF(ISNA(MATCH($A53,PRESEASON!$A$6:$A$143,0)),"",IF(INDEX(PRESEASON!$Z$6:$Z$143,MATCH($A53,PRESEASON!$A$6:$A$143,0))="","",INDEX(PRESEASON!$Z$6:$Z$143,MATCH($A53,PRESEASON!$A$6:$A$143,0)))))</f>
        <v/>
      </c>
      <c r="F53">
        <f>IF($A53="","",SUMIFS(CLEAN!$AB$6:$AB$1005,CLEAN!$P$6:$P$1005,$A53)+SUMIFS(CLEAN!$AC$6:$AC$1005,CLEAN!$N$6:$N$1005,$A53))</f>
        <v/>
      </c>
      <c r="G53">
        <f>IF(OR($A53="",$F53=""),"",IF(MIN($F53,9)&gt;=9,SETTINGS!$C$46,INDEX(SETTINGS!$C$37:$C$46,INT(MIN($F53,9))+1)+(MIN($F53,9)-INT(MIN($F53,9)))*(INDEX(SETTINGS!$C$37:$C$46,INT(MIN($F53,9))+2)-INDEX(SETTINGS!$C$37:$C$46,INT(MIN($F53,9))+1))))</f>
        <v/>
      </c>
      <c r="H53">
        <f>IF($A53="","",IF(ISNA(MATCH($A53,CALC!$A$6:$A$143,0)),"",IF(INDEX(CALC!$H$6:$H$143,MATCH($A53,CALC!$A$6:$A$143,0))="","",INDEX(CALC!$H$6:$H$143,MATCH($A53,CALC!$A$6:$A$143,0)))))</f>
        <v/>
      </c>
      <c r="I53">
        <f>IF($E53="","",IF(OR($H53="",$F53=0,$F53=""),$E53,$G53*$E53+(1-$G53)*$H53))</f>
        <v/>
      </c>
      <c r="J53">
        <f>IF(OR($A53="",SETTINGS!$B$4="",SETTINGS!$B$4&lt;=1),"",IF(COUNTIFS(HISTORY!$A$6:$A$3005,SETTINGS!$B$4-1,HISTORY!$B$6:$B$3005,$A53)=1,SUMIFS(HISTORY!$C$6:$C$3005,HISTORY!$A$6:$A$3005,SETTINGS!$B$4-1,HISTORY!$B$6:$B$3005,$A53),""))</f>
        <v/>
      </c>
      <c r="K53">
        <f>IF($I53="","",IF(ISNUMBER($J53),$J53+MAX(-SETTINGS!$B$12,MIN(SETTINGS!$B$12,$I53-$J53)),$I53))</f>
        <v/>
      </c>
      <c r="O53">
        <f>IF($A53="","",IF(ISNUMBER($L53),$L53,IF($K53="","",$K53)))</f>
        <v/>
      </c>
      <c r="P53">
        <f>IF($A53="","",IF(ISNUMBER($L53),"OVERRIDE","MODEL"))</f>
        <v/>
      </c>
      <c r="Q53">
        <f>IF($A53="","",SETTINGS!$B$6)</f>
        <v/>
      </c>
      <c r="S53">
        <f>IF($A53="","",IF(ISNUMBER($R53),$R53,$Q53))</f>
        <v/>
      </c>
      <c r="W53">
        <f>IF($A53="","",SUMIFS(CLEAN!$AD$6:$AD$1005,CLEAN!$P$6:$P$1005,$A53)+SUMIFS(CLEAN!$AE$6:$AE$1005,CLEAN!$N$6:$N$1005,$A53))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MAP'!$C54)</f>
        <v/>
      </c>
      <c r="D54">
        <f>IF('TEAM MAP'!$A54="","",'TEAM MAP'!$E54)</f>
        <v/>
      </c>
      <c r="E54">
        <f>IF($A54="","",IF(ISNA(MATCH($A54,PRESEASON!$A$6:$A$143,0)),"",IF(INDEX(PRESEASON!$Z$6:$Z$143,MATCH($A54,PRESEASON!$A$6:$A$143,0))="","",INDEX(PRESEASON!$Z$6:$Z$143,MATCH($A54,PRESEASON!$A$6:$A$143,0)))))</f>
        <v/>
      </c>
      <c r="F54">
        <f>IF($A54="","",SUMIFS(CLEAN!$AB$6:$AB$1005,CLEAN!$P$6:$P$1005,$A54)+SUMIFS(CLEAN!$AC$6:$AC$1005,CLEAN!$N$6:$N$1005,$A54))</f>
        <v/>
      </c>
      <c r="G54">
        <f>IF(OR($A54="",$F54=""),"",IF(MIN($F54,9)&gt;=9,SETTINGS!$C$46,INDEX(SETTINGS!$C$37:$C$46,INT(MIN($F54,9))+1)+(MIN($F54,9)-INT(MIN($F54,9)))*(INDEX(SETTINGS!$C$37:$C$46,INT(MIN($F54,9))+2)-INDEX(SETTINGS!$C$37:$C$46,INT(MIN($F54,9))+1))))</f>
        <v/>
      </c>
      <c r="H54">
        <f>IF($A54="","",IF(ISNA(MATCH($A54,CALC!$A$6:$A$143,0)),"",IF(INDEX(CALC!$H$6:$H$143,MATCH($A54,CALC!$A$6:$A$143,0))="","",INDEX(CALC!$H$6:$H$143,MATCH($A54,CALC!$A$6:$A$143,0)))))</f>
        <v/>
      </c>
      <c r="I54">
        <f>IF($E54="","",IF(OR($H54="",$F54=0,$F54=""),$E54,$G54*$E54+(1-$G54)*$H54))</f>
        <v/>
      </c>
      <c r="J54">
        <f>IF(OR($A54="",SETTINGS!$B$4="",SETTINGS!$B$4&lt;=1),"",IF(COUNTIFS(HISTORY!$A$6:$A$3005,SETTINGS!$B$4-1,HISTORY!$B$6:$B$3005,$A54)=1,SUMIFS(HISTORY!$C$6:$C$3005,HISTORY!$A$6:$A$3005,SETTINGS!$B$4-1,HISTORY!$B$6:$B$3005,$A54),""))</f>
        <v/>
      </c>
      <c r="K54">
        <f>IF($I54="","",IF(ISNUMBER($J54),$J54+MAX(-SETTINGS!$B$12,MIN(SETTINGS!$B$12,$I54-$J54)),$I54))</f>
        <v/>
      </c>
      <c r="O54">
        <f>IF($A54="","",IF(ISNUMBER($L54),$L54,IF($K54="","",$K54)))</f>
        <v/>
      </c>
      <c r="P54">
        <f>IF($A54="","",IF(ISNUMBER($L54),"OVERRIDE","MODEL"))</f>
        <v/>
      </c>
      <c r="Q54">
        <f>IF($A54="","",SETTINGS!$B$6)</f>
        <v/>
      </c>
      <c r="S54">
        <f>IF($A54="","",IF(ISNUMBER($R54),$R54,$Q54))</f>
        <v/>
      </c>
      <c r="W54">
        <f>IF($A54="","",SUMIFS(CLEAN!$AD$6:$AD$1005,CLEAN!$P$6:$P$1005,$A54)+SUMIFS(CLEAN!$AE$6:$AE$1005,CLEAN!$N$6:$N$1005,$A54))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MAP'!$C55)</f>
        <v/>
      </c>
      <c r="D55">
        <f>IF('TEAM MAP'!$A55="","",'TEAM MAP'!$E55)</f>
        <v/>
      </c>
      <c r="E55">
        <f>IF($A55="","",IF(ISNA(MATCH($A55,PRESEASON!$A$6:$A$143,0)),"",IF(INDEX(PRESEASON!$Z$6:$Z$143,MATCH($A55,PRESEASON!$A$6:$A$143,0))="","",INDEX(PRESEASON!$Z$6:$Z$143,MATCH($A55,PRESEASON!$A$6:$A$143,0)))))</f>
        <v/>
      </c>
      <c r="F55">
        <f>IF($A55="","",SUMIFS(CLEAN!$AB$6:$AB$1005,CLEAN!$P$6:$P$1005,$A55)+SUMIFS(CLEAN!$AC$6:$AC$1005,CLEAN!$N$6:$N$1005,$A55))</f>
        <v/>
      </c>
      <c r="G55">
        <f>IF(OR($A55="",$F55=""),"",IF(MIN($F55,9)&gt;=9,SETTINGS!$C$46,INDEX(SETTINGS!$C$37:$C$46,INT(MIN($F55,9))+1)+(MIN($F55,9)-INT(MIN($F55,9)))*(INDEX(SETTINGS!$C$37:$C$46,INT(MIN($F55,9))+2)-INDEX(SETTINGS!$C$37:$C$46,INT(MIN($F55,9))+1))))</f>
        <v/>
      </c>
      <c r="H55">
        <f>IF($A55="","",IF(ISNA(MATCH($A55,CALC!$A$6:$A$143,0)),"",IF(INDEX(CALC!$H$6:$H$143,MATCH($A55,CALC!$A$6:$A$143,0))="","",INDEX(CALC!$H$6:$H$143,MATCH($A55,CALC!$A$6:$A$143,0)))))</f>
        <v/>
      </c>
      <c r="I55">
        <f>IF($E55="","",IF(OR($H55="",$F55=0,$F55=""),$E55,$G55*$E55+(1-$G55)*$H55))</f>
        <v/>
      </c>
      <c r="J55">
        <f>IF(OR($A55="",SETTINGS!$B$4="",SETTINGS!$B$4&lt;=1),"",IF(COUNTIFS(HISTORY!$A$6:$A$3005,SETTINGS!$B$4-1,HISTORY!$B$6:$B$3005,$A55)=1,SUMIFS(HISTORY!$C$6:$C$3005,HISTORY!$A$6:$A$3005,SETTINGS!$B$4-1,HISTORY!$B$6:$B$3005,$A55),""))</f>
        <v/>
      </c>
      <c r="K55">
        <f>IF($I55="","",IF(ISNUMBER($J55),$J55+MAX(-SETTINGS!$B$12,MIN(SETTINGS!$B$12,$I55-$J55)),$I55))</f>
        <v/>
      </c>
      <c r="O55">
        <f>IF($A55="","",IF(ISNUMBER($L55),$L55,IF($K55="","",$K55)))</f>
        <v/>
      </c>
      <c r="P55">
        <f>IF($A55="","",IF(ISNUMBER($L55),"OVERRIDE","MODEL"))</f>
        <v/>
      </c>
      <c r="Q55">
        <f>IF($A55="","",SETTINGS!$B$6)</f>
        <v/>
      </c>
      <c r="S55">
        <f>IF($A55="","",IF(ISNUMBER($R55),$R55,$Q55))</f>
        <v/>
      </c>
      <c r="W55">
        <f>IF($A55="","",SUMIFS(CLEAN!$AD$6:$AD$1005,CLEAN!$P$6:$P$1005,$A55)+SUMIFS(CLEAN!$AE$6:$AE$1005,CLEAN!$N$6:$N$1005,$A55))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MAP'!$C56)</f>
        <v/>
      </c>
      <c r="D56">
        <f>IF('TEAM MAP'!$A56="","",'TEAM MAP'!$E56)</f>
        <v/>
      </c>
      <c r="E56">
        <f>IF($A56="","",IF(ISNA(MATCH($A56,PRESEASON!$A$6:$A$143,0)),"",IF(INDEX(PRESEASON!$Z$6:$Z$143,MATCH($A56,PRESEASON!$A$6:$A$143,0))="","",INDEX(PRESEASON!$Z$6:$Z$143,MATCH($A56,PRESEASON!$A$6:$A$143,0)))))</f>
        <v/>
      </c>
      <c r="F56">
        <f>IF($A56="","",SUMIFS(CLEAN!$AB$6:$AB$1005,CLEAN!$P$6:$P$1005,$A56)+SUMIFS(CLEAN!$AC$6:$AC$1005,CLEAN!$N$6:$N$1005,$A56))</f>
        <v/>
      </c>
      <c r="G56">
        <f>IF(OR($A56="",$F56=""),"",IF(MIN($F56,9)&gt;=9,SETTINGS!$C$46,INDEX(SETTINGS!$C$37:$C$46,INT(MIN($F56,9))+1)+(MIN($F56,9)-INT(MIN($F56,9)))*(INDEX(SETTINGS!$C$37:$C$46,INT(MIN($F56,9))+2)-INDEX(SETTINGS!$C$37:$C$46,INT(MIN($F56,9))+1))))</f>
        <v/>
      </c>
      <c r="H56">
        <f>IF($A56="","",IF(ISNA(MATCH($A56,CALC!$A$6:$A$143,0)),"",IF(INDEX(CALC!$H$6:$H$143,MATCH($A56,CALC!$A$6:$A$143,0))="","",INDEX(CALC!$H$6:$H$143,MATCH($A56,CALC!$A$6:$A$143,0)))))</f>
        <v/>
      </c>
      <c r="I56">
        <f>IF($E56="","",IF(OR($H56="",$F56=0,$F56=""),$E56,$G56*$E56+(1-$G56)*$H56))</f>
        <v/>
      </c>
      <c r="J56">
        <f>IF(OR($A56="",SETTINGS!$B$4="",SETTINGS!$B$4&lt;=1),"",IF(COUNTIFS(HISTORY!$A$6:$A$3005,SETTINGS!$B$4-1,HISTORY!$B$6:$B$3005,$A56)=1,SUMIFS(HISTORY!$C$6:$C$3005,HISTORY!$A$6:$A$3005,SETTINGS!$B$4-1,HISTORY!$B$6:$B$3005,$A56),""))</f>
        <v/>
      </c>
      <c r="K56">
        <f>IF($I56="","",IF(ISNUMBER($J56),$J56+MAX(-SETTINGS!$B$12,MIN(SETTINGS!$B$12,$I56-$J56)),$I56))</f>
        <v/>
      </c>
      <c r="O56">
        <f>IF($A56="","",IF(ISNUMBER($L56),$L56,IF($K56="","",$K56)))</f>
        <v/>
      </c>
      <c r="P56">
        <f>IF($A56="","",IF(ISNUMBER($L56),"OVERRIDE","MODEL"))</f>
        <v/>
      </c>
      <c r="Q56">
        <f>IF($A56="","",SETTINGS!$B$6)</f>
        <v/>
      </c>
      <c r="S56">
        <f>IF($A56="","",IF(ISNUMBER($R56),$R56,$Q56))</f>
        <v/>
      </c>
      <c r="W56">
        <f>IF($A56="","",SUMIFS(CLEAN!$AD$6:$AD$1005,CLEAN!$P$6:$P$1005,$A56)+SUMIFS(CLEAN!$AE$6:$AE$1005,CLEAN!$N$6:$N$1005,$A56))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MAP'!$C57)</f>
        <v/>
      </c>
      <c r="D57">
        <f>IF('TEAM MAP'!$A57="","",'TEAM MAP'!$E57)</f>
        <v/>
      </c>
      <c r="E57">
        <f>IF($A57="","",IF(ISNA(MATCH($A57,PRESEASON!$A$6:$A$143,0)),"",IF(INDEX(PRESEASON!$Z$6:$Z$143,MATCH($A57,PRESEASON!$A$6:$A$143,0))="","",INDEX(PRESEASON!$Z$6:$Z$143,MATCH($A57,PRESEASON!$A$6:$A$143,0)))))</f>
        <v/>
      </c>
      <c r="F57">
        <f>IF($A57="","",SUMIFS(CLEAN!$AB$6:$AB$1005,CLEAN!$P$6:$P$1005,$A57)+SUMIFS(CLEAN!$AC$6:$AC$1005,CLEAN!$N$6:$N$1005,$A57))</f>
        <v/>
      </c>
      <c r="G57">
        <f>IF(OR($A57="",$F57=""),"",IF(MIN($F57,9)&gt;=9,SETTINGS!$C$46,INDEX(SETTINGS!$C$37:$C$46,INT(MIN($F57,9))+1)+(MIN($F57,9)-INT(MIN($F57,9)))*(INDEX(SETTINGS!$C$37:$C$46,INT(MIN($F57,9))+2)-INDEX(SETTINGS!$C$37:$C$46,INT(MIN($F57,9))+1))))</f>
        <v/>
      </c>
      <c r="H57">
        <f>IF($A57="","",IF(ISNA(MATCH($A57,CALC!$A$6:$A$143,0)),"",IF(INDEX(CALC!$H$6:$H$143,MATCH($A57,CALC!$A$6:$A$143,0))="","",INDEX(CALC!$H$6:$H$143,MATCH($A57,CALC!$A$6:$A$143,0)))))</f>
        <v/>
      </c>
      <c r="I57">
        <f>IF($E57="","",IF(OR($H57="",$F57=0,$F57=""),$E57,$G57*$E57+(1-$G57)*$H57))</f>
        <v/>
      </c>
      <c r="J57">
        <f>IF(OR($A57="",SETTINGS!$B$4="",SETTINGS!$B$4&lt;=1),"",IF(COUNTIFS(HISTORY!$A$6:$A$3005,SETTINGS!$B$4-1,HISTORY!$B$6:$B$3005,$A57)=1,SUMIFS(HISTORY!$C$6:$C$3005,HISTORY!$A$6:$A$3005,SETTINGS!$B$4-1,HISTORY!$B$6:$B$3005,$A57),""))</f>
        <v/>
      </c>
      <c r="K57">
        <f>IF($I57="","",IF(ISNUMBER($J57),$J57+MAX(-SETTINGS!$B$12,MIN(SETTINGS!$B$12,$I57-$J57)),$I57))</f>
        <v/>
      </c>
      <c r="O57">
        <f>IF($A57="","",IF(ISNUMBER($L57),$L57,IF($K57="","",$K57)))</f>
        <v/>
      </c>
      <c r="P57">
        <f>IF($A57="","",IF(ISNUMBER($L57),"OVERRIDE","MODEL"))</f>
        <v/>
      </c>
      <c r="Q57">
        <f>IF($A57="","",SETTINGS!$B$6)</f>
        <v/>
      </c>
      <c r="S57">
        <f>IF($A57="","",IF(ISNUMBER($R57),$R57,$Q57))</f>
        <v/>
      </c>
      <c r="W57">
        <f>IF($A57="","",SUMIFS(CLEAN!$AD$6:$AD$1005,CLEAN!$P$6:$P$1005,$A57)+SUMIFS(CLEAN!$AE$6:$AE$1005,CLEAN!$N$6:$N$1005,$A57))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MAP'!$C58)</f>
        <v/>
      </c>
      <c r="D58">
        <f>IF('TEAM MAP'!$A58="","",'TEAM MAP'!$E58)</f>
        <v/>
      </c>
      <c r="E58">
        <f>IF($A58="","",IF(ISNA(MATCH($A58,PRESEASON!$A$6:$A$143,0)),"",IF(INDEX(PRESEASON!$Z$6:$Z$143,MATCH($A58,PRESEASON!$A$6:$A$143,0))="","",INDEX(PRESEASON!$Z$6:$Z$143,MATCH($A58,PRESEASON!$A$6:$A$143,0)))))</f>
        <v/>
      </c>
      <c r="F58">
        <f>IF($A58="","",SUMIFS(CLEAN!$AB$6:$AB$1005,CLEAN!$P$6:$P$1005,$A58)+SUMIFS(CLEAN!$AC$6:$AC$1005,CLEAN!$N$6:$N$1005,$A58))</f>
        <v/>
      </c>
      <c r="G58">
        <f>IF(OR($A58="",$F58=""),"",IF(MIN($F58,9)&gt;=9,SETTINGS!$C$46,INDEX(SETTINGS!$C$37:$C$46,INT(MIN($F58,9))+1)+(MIN($F58,9)-INT(MIN($F58,9)))*(INDEX(SETTINGS!$C$37:$C$46,INT(MIN($F58,9))+2)-INDEX(SETTINGS!$C$37:$C$46,INT(MIN($F58,9))+1))))</f>
        <v/>
      </c>
      <c r="H58">
        <f>IF($A58="","",IF(ISNA(MATCH($A58,CALC!$A$6:$A$143,0)),"",IF(INDEX(CALC!$H$6:$H$143,MATCH($A58,CALC!$A$6:$A$143,0))="","",INDEX(CALC!$H$6:$H$143,MATCH($A58,CALC!$A$6:$A$143,0)))))</f>
        <v/>
      </c>
      <c r="I58">
        <f>IF($E58="","",IF(OR($H58="",$F58=0,$F58=""),$E58,$G58*$E58+(1-$G58)*$H58))</f>
        <v/>
      </c>
      <c r="J58">
        <f>IF(OR($A58="",SETTINGS!$B$4="",SETTINGS!$B$4&lt;=1),"",IF(COUNTIFS(HISTORY!$A$6:$A$3005,SETTINGS!$B$4-1,HISTORY!$B$6:$B$3005,$A58)=1,SUMIFS(HISTORY!$C$6:$C$3005,HISTORY!$A$6:$A$3005,SETTINGS!$B$4-1,HISTORY!$B$6:$B$3005,$A58),""))</f>
        <v/>
      </c>
      <c r="K58">
        <f>IF($I58="","",IF(ISNUMBER($J58),$J58+MAX(-SETTINGS!$B$12,MIN(SETTINGS!$B$12,$I58-$J58)),$I58))</f>
        <v/>
      </c>
      <c r="O58">
        <f>IF($A58="","",IF(ISNUMBER($L58),$L58,IF($K58="","",$K58)))</f>
        <v/>
      </c>
      <c r="P58">
        <f>IF($A58="","",IF(ISNUMBER($L58),"OVERRIDE","MODEL"))</f>
        <v/>
      </c>
      <c r="Q58">
        <f>IF($A58="","",SETTINGS!$B$6)</f>
        <v/>
      </c>
      <c r="S58">
        <f>IF($A58="","",IF(ISNUMBER($R58),$R58,$Q58))</f>
        <v/>
      </c>
      <c r="W58">
        <f>IF($A58="","",SUMIFS(CLEAN!$AD$6:$AD$1005,CLEAN!$P$6:$P$1005,$A58)+SUMIFS(CLEAN!$AE$6:$AE$1005,CLEAN!$N$6:$N$1005,$A58))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MAP'!$C59)</f>
        <v/>
      </c>
      <c r="D59">
        <f>IF('TEAM MAP'!$A59="","",'TEAM MAP'!$E59)</f>
        <v/>
      </c>
      <c r="E59">
        <f>IF($A59="","",IF(ISNA(MATCH($A59,PRESEASON!$A$6:$A$143,0)),"",IF(INDEX(PRESEASON!$Z$6:$Z$143,MATCH($A59,PRESEASON!$A$6:$A$143,0))="","",INDEX(PRESEASON!$Z$6:$Z$143,MATCH($A59,PRESEASON!$A$6:$A$143,0)))))</f>
        <v/>
      </c>
      <c r="F59">
        <f>IF($A59="","",SUMIFS(CLEAN!$AB$6:$AB$1005,CLEAN!$P$6:$P$1005,$A59)+SUMIFS(CLEAN!$AC$6:$AC$1005,CLEAN!$N$6:$N$1005,$A59))</f>
        <v/>
      </c>
      <c r="G59">
        <f>IF(OR($A59="",$F59=""),"",IF(MIN($F59,9)&gt;=9,SETTINGS!$C$46,INDEX(SETTINGS!$C$37:$C$46,INT(MIN($F59,9))+1)+(MIN($F59,9)-INT(MIN($F59,9)))*(INDEX(SETTINGS!$C$37:$C$46,INT(MIN($F59,9))+2)-INDEX(SETTINGS!$C$37:$C$46,INT(MIN($F59,9))+1))))</f>
        <v/>
      </c>
      <c r="H59">
        <f>IF($A59="","",IF(ISNA(MATCH($A59,CALC!$A$6:$A$143,0)),"",IF(INDEX(CALC!$H$6:$H$143,MATCH($A59,CALC!$A$6:$A$143,0))="","",INDEX(CALC!$H$6:$H$143,MATCH($A59,CALC!$A$6:$A$143,0)))))</f>
        <v/>
      </c>
      <c r="I59">
        <f>IF($E59="","",IF(OR($H59="",$F59=0,$F59=""),$E59,$G59*$E59+(1-$G59)*$H59))</f>
        <v/>
      </c>
      <c r="J59">
        <f>IF(OR($A59="",SETTINGS!$B$4="",SETTINGS!$B$4&lt;=1),"",IF(COUNTIFS(HISTORY!$A$6:$A$3005,SETTINGS!$B$4-1,HISTORY!$B$6:$B$3005,$A59)=1,SUMIFS(HISTORY!$C$6:$C$3005,HISTORY!$A$6:$A$3005,SETTINGS!$B$4-1,HISTORY!$B$6:$B$3005,$A59),""))</f>
        <v/>
      </c>
      <c r="K59">
        <f>IF($I59="","",IF(ISNUMBER($J59),$J59+MAX(-SETTINGS!$B$12,MIN(SETTINGS!$B$12,$I59-$J59)),$I59))</f>
        <v/>
      </c>
      <c r="O59">
        <f>IF($A59="","",IF(ISNUMBER($L59),$L59,IF($K59="","",$K59)))</f>
        <v/>
      </c>
      <c r="P59">
        <f>IF($A59="","",IF(ISNUMBER($L59),"OVERRIDE","MODEL"))</f>
        <v/>
      </c>
      <c r="Q59">
        <f>IF($A59="","",SETTINGS!$B$6)</f>
        <v/>
      </c>
      <c r="S59">
        <f>IF($A59="","",IF(ISNUMBER($R59),$R59,$Q59))</f>
        <v/>
      </c>
      <c r="W59">
        <f>IF($A59="","",SUMIFS(CLEAN!$AD$6:$AD$1005,CLEAN!$P$6:$P$1005,$A59)+SUMIFS(CLEAN!$AE$6:$AE$1005,CLEAN!$N$6:$N$1005,$A59))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MAP'!$C60)</f>
        <v/>
      </c>
      <c r="D60">
        <f>IF('TEAM MAP'!$A60="","",'TEAM MAP'!$E60)</f>
        <v/>
      </c>
      <c r="E60">
        <f>IF($A60="","",IF(ISNA(MATCH($A60,PRESEASON!$A$6:$A$143,0)),"",IF(INDEX(PRESEASON!$Z$6:$Z$143,MATCH($A60,PRESEASON!$A$6:$A$143,0))="","",INDEX(PRESEASON!$Z$6:$Z$143,MATCH($A60,PRESEASON!$A$6:$A$143,0)))))</f>
        <v/>
      </c>
      <c r="F60">
        <f>IF($A60="","",SUMIFS(CLEAN!$AB$6:$AB$1005,CLEAN!$P$6:$P$1005,$A60)+SUMIFS(CLEAN!$AC$6:$AC$1005,CLEAN!$N$6:$N$1005,$A60))</f>
        <v/>
      </c>
      <c r="G60">
        <f>IF(OR($A60="",$F60=""),"",IF(MIN($F60,9)&gt;=9,SETTINGS!$C$46,INDEX(SETTINGS!$C$37:$C$46,INT(MIN($F60,9))+1)+(MIN($F60,9)-INT(MIN($F60,9)))*(INDEX(SETTINGS!$C$37:$C$46,INT(MIN($F60,9))+2)-INDEX(SETTINGS!$C$37:$C$46,INT(MIN($F60,9))+1))))</f>
        <v/>
      </c>
      <c r="H60">
        <f>IF($A60="","",IF(ISNA(MATCH($A60,CALC!$A$6:$A$143,0)),"",IF(INDEX(CALC!$H$6:$H$143,MATCH($A60,CALC!$A$6:$A$143,0))="","",INDEX(CALC!$H$6:$H$143,MATCH($A60,CALC!$A$6:$A$143,0)))))</f>
        <v/>
      </c>
      <c r="I60">
        <f>IF($E60="","",IF(OR($H60="",$F60=0,$F60=""),$E60,$G60*$E60+(1-$G60)*$H60))</f>
        <v/>
      </c>
      <c r="J60">
        <f>IF(OR($A60="",SETTINGS!$B$4="",SETTINGS!$B$4&lt;=1),"",IF(COUNTIFS(HISTORY!$A$6:$A$3005,SETTINGS!$B$4-1,HISTORY!$B$6:$B$3005,$A60)=1,SUMIFS(HISTORY!$C$6:$C$3005,HISTORY!$A$6:$A$3005,SETTINGS!$B$4-1,HISTORY!$B$6:$B$3005,$A60),""))</f>
        <v/>
      </c>
      <c r="K60">
        <f>IF($I60="","",IF(ISNUMBER($J60),$J60+MAX(-SETTINGS!$B$12,MIN(SETTINGS!$B$12,$I60-$J60)),$I60))</f>
        <v/>
      </c>
      <c r="O60">
        <f>IF($A60="","",IF(ISNUMBER($L60),$L60,IF($K60="","",$K60)))</f>
        <v/>
      </c>
      <c r="P60">
        <f>IF($A60="","",IF(ISNUMBER($L60),"OVERRIDE","MODEL"))</f>
        <v/>
      </c>
      <c r="Q60">
        <f>IF($A60="","",SETTINGS!$B$6)</f>
        <v/>
      </c>
      <c r="S60">
        <f>IF($A60="","",IF(ISNUMBER($R60),$R60,$Q60))</f>
        <v/>
      </c>
      <c r="W60">
        <f>IF($A60="","",SUMIFS(CLEAN!$AD$6:$AD$1005,CLEAN!$P$6:$P$1005,$A60)+SUMIFS(CLEAN!$AE$6:$AE$1005,CLEAN!$N$6:$N$1005,$A60))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MAP'!$C61)</f>
        <v/>
      </c>
      <c r="D61">
        <f>IF('TEAM MAP'!$A61="","",'TEAM MAP'!$E61)</f>
        <v/>
      </c>
      <c r="E61">
        <f>IF($A61="","",IF(ISNA(MATCH($A61,PRESEASON!$A$6:$A$143,0)),"",IF(INDEX(PRESEASON!$Z$6:$Z$143,MATCH($A61,PRESEASON!$A$6:$A$143,0))="","",INDEX(PRESEASON!$Z$6:$Z$143,MATCH($A61,PRESEASON!$A$6:$A$143,0)))))</f>
        <v/>
      </c>
      <c r="F61">
        <f>IF($A61="","",SUMIFS(CLEAN!$AB$6:$AB$1005,CLEAN!$P$6:$P$1005,$A61)+SUMIFS(CLEAN!$AC$6:$AC$1005,CLEAN!$N$6:$N$1005,$A61))</f>
        <v/>
      </c>
      <c r="G61">
        <f>IF(OR($A61="",$F61=""),"",IF(MIN($F61,9)&gt;=9,SETTINGS!$C$46,INDEX(SETTINGS!$C$37:$C$46,INT(MIN($F61,9))+1)+(MIN($F61,9)-INT(MIN($F61,9)))*(INDEX(SETTINGS!$C$37:$C$46,INT(MIN($F61,9))+2)-INDEX(SETTINGS!$C$37:$C$46,INT(MIN($F61,9))+1))))</f>
        <v/>
      </c>
      <c r="H61">
        <f>IF($A61="","",IF(ISNA(MATCH($A61,CALC!$A$6:$A$143,0)),"",IF(INDEX(CALC!$H$6:$H$143,MATCH($A61,CALC!$A$6:$A$143,0))="","",INDEX(CALC!$H$6:$H$143,MATCH($A61,CALC!$A$6:$A$143,0)))))</f>
        <v/>
      </c>
      <c r="I61">
        <f>IF($E61="","",IF(OR($H61="",$F61=0,$F61=""),$E61,$G61*$E61+(1-$G61)*$H61))</f>
        <v/>
      </c>
      <c r="J61">
        <f>IF(OR($A61="",SETTINGS!$B$4="",SETTINGS!$B$4&lt;=1),"",IF(COUNTIFS(HISTORY!$A$6:$A$3005,SETTINGS!$B$4-1,HISTORY!$B$6:$B$3005,$A61)=1,SUMIFS(HISTORY!$C$6:$C$3005,HISTORY!$A$6:$A$3005,SETTINGS!$B$4-1,HISTORY!$B$6:$B$3005,$A61),""))</f>
        <v/>
      </c>
      <c r="K61">
        <f>IF($I61="","",IF(ISNUMBER($J61),$J61+MAX(-SETTINGS!$B$12,MIN(SETTINGS!$B$12,$I61-$J61)),$I61))</f>
        <v/>
      </c>
      <c r="O61">
        <f>IF($A61="","",IF(ISNUMBER($L61),$L61,IF($K61="","",$K61)))</f>
        <v/>
      </c>
      <c r="P61">
        <f>IF($A61="","",IF(ISNUMBER($L61),"OVERRIDE","MODEL"))</f>
        <v/>
      </c>
      <c r="Q61">
        <f>IF($A61="","",SETTINGS!$B$6)</f>
        <v/>
      </c>
      <c r="S61">
        <f>IF($A61="","",IF(ISNUMBER($R61),$R61,$Q61))</f>
        <v/>
      </c>
      <c r="W61">
        <f>IF($A61="","",SUMIFS(CLEAN!$AD$6:$AD$1005,CLEAN!$P$6:$P$1005,$A61)+SUMIFS(CLEAN!$AE$6:$AE$1005,CLEAN!$N$6:$N$1005,$A61))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MAP'!$C62)</f>
        <v/>
      </c>
      <c r="D62">
        <f>IF('TEAM MAP'!$A62="","",'TEAM MAP'!$E62)</f>
        <v/>
      </c>
      <c r="E62">
        <f>IF($A62="","",IF(ISNA(MATCH($A62,PRESEASON!$A$6:$A$143,0)),"",IF(INDEX(PRESEASON!$Z$6:$Z$143,MATCH($A62,PRESEASON!$A$6:$A$143,0))="","",INDEX(PRESEASON!$Z$6:$Z$143,MATCH($A62,PRESEASON!$A$6:$A$143,0)))))</f>
        <v/>
      </c>
      <c r="F62">
        <f>IF($A62="","",SUMIFS(CLEAN!$AB$6:$AB$1005,CLEAN!$P$6:$P$1005,$A62)+SUMIFS(CLEAN!$AC$6:$AC$1005,CLEAN!$N$6:$N$1005,$A62))</f>
        <v/>
      </c>
      <c r="G62">
        <f>IF(OR($A62="",$F62=""),"",IF(MIN($F62,9)&gt;=9,SETTINGS!$C$46,INDEX(SETTINGS!$C$37:$C$46,INT(MIN($F62,9))+1)+(MIN($F62,9)-INT(MIN($F62,9)))*(INDEX(SETTINGS!$C$37:$C$46,INT(MIN($F62,9))+2)-INDEX(SETTINGS!$C$37:$C$46,INT(MIN($F62,9))+1))))</f>
        <v/>
      </c>
      <c r="H62">
        <f>IF($A62="","",IF(ISNA(MATCH($A62,CALC!$A$6:$A$143,0)),"",IF(INDEX(CALC!$H$6:$H$143,MATCH($A62,CALC!$A$6:$A$143,0))="","",INDEX(CALC!$H$6:$H$143,MATCH($A62,CALC!$A$6:$A$143,0)))))</f>
        <v/>
      </c>
      <c r="I62">
        <f>IF($E62="","",IF(OR($H62="",$F62=0,$F62=""),$E62,$G62*$E62+(1-$G62)*$H62))</f>
        <v/>
      </c>
      <c r="J62">
        <f>IF(OR($A62="",SETTINGS!$B$4="",SETTINGS!$B$4&lt;=1),"",IF(COUNTIFS(HISTORY!$A$6:$A$3005,SETTINGS!$B$4-1,HISTORY!$B$6:$B$3005,$A62)=1,SUMIFS(HISTORY!$C$6:$C$3005,HISTORY!$A$6:$A$3005,SETTINGS!$B$4-1,HISTORY!$B$6:$B$3005,$A62),""))</f>
        <v/>
      </c>
      <c r="K62">
        <f>IF($I62="","",IF(ISNUMBER($J62),$J62+MAX(-SETTINGS!$B$12,MIN(SETTINGS!$B$12,$I62-$J62)),$I62))</f>
        <v/>
      </c>
      <c r="O62">
        <f>IF($A62="","",IF(ISNUMBER($L62),$L62,IF($K62="","",$K62)))</f>
        <v/>
      </c>
      <c r="P62">
        <f>IF($A62="","",IF(ISNUMBER($L62),"OVERRIDE","MODEL"))</f>
        <v/>
      </c>
      <c r="Q62">
        <f>IF($A62="","",SETTINGS!$B$6)</f>
        <v/>
      </c>
      <c r="S62">
        <f>IF($A62="","",IF(ISNUMBER($R62),$R62,$Q62))</f>
        <v/>
      </c>
      <c r="W62">
        <f>IF($A62="","",SUMIFS(CLEAN!$AD$6:$AD$1005,CLEAN!$P$6:$P$1005,$A62)+SUMIFS(CLEAN!$AE$6:$AE$1005,CLEAN!$N$6:$N$1005,$A62))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MAP'!$C63)</f>
        <v/>
      </c>
      <c r="D63">
        <f>IF('TEAM MAP'!$A63="","",'TEAM MAP'!$E63)</f>
        <v/>
      </c>
      <c r="E63">
        <f>IF($A63="","",IF(ISNA(MATCH($A63,PRESEASON!$A$6:$A$143,0)),"",IF(INDEX(PRESEASON!$Z$6:$Z$143,MATCH($A63,PRESEASON!$A$6:$A$143,0))="","",INDEX(PRESEASON!$Z$6:$Z$143,MATCH($A63,PRESEASON!$A$6:$A$143,0)))))</f>
        <v/>
      </c>
      <c r="F63">
        <f>IF($A63="","",SUMIFS(CLEAN!$AB$6:$AB$1005,CLEAN!$P$6:$P$1005,$A63)+SUMIFS(CLEAN!$AC$6:$AC$1005,CLEAN!$N$6:$N$1005,$A63))</f>
        <v/>
      </c>
      <c r="G63">
        <f>IF(OR($A63="",$F63=""),"",IF(MIN($F63,9)&gt;=9,SETTINGS!$C$46,INDEX(SETTINGS!$C$37:$C$46,INT(MIN($F63,9))+1)+(MIN($F63,9)-INT(MIN($F63,9)))*(INDEX(SETTINGS!$C$37:$C$46,INT(MIN($F63,9))+2)-INDEX(SETTINGS!$C$37:$C$46,INT(MIN($F63,9))+1))))</f>
        <v/>
      </c>
      <c r="H63">
        <f>IF($A63="","",IF(ISNA(MATCH($A63,CALC!$A$6:$A$143,0)),"",IF(INDEX(CALC!$H$6:$H$143,MATCH($A63,CALC!$A$6:$A$143,0))="","",INDEX(CALC!$H$6:$H$143,MATCH($A63,CALC!$A$6:$A$143,0)))))</f>
        <v/>
      </c>
      <c r="I63">
        <f>IF($E63="","",IF(OR($H63="",$F63=0,$F63=""),$E63,$G63*$E63+(1-$G63)*$H63))</f>
        <v/>
      </c>
      <c r="J63">
        <f>IF(OR($A63="",SETTINGS!$B$4="",SETTINGS!$B$4&lt;=1),"",IF(COUNTIFS(HISTORY!$A$6:$A$3005,SETTINGS!$B$4-1,HISTORY!$B$6:$B$3005,$A63)=1,SUMIFS(HISTORY!$C$6:$C$3005,HISTORY!$A$6:$A$3005,SETTINGS!$B$4-1,HISTORY!$B$6:$B$3005,$A63),""))</f>
        <v/>
      </c>
      <c r="K63">
        <f>IF($I63="","",IF(ISNUMBER($J63),$J63+MAX(-SETTINGS!$B$12,MIN(SETTINGS!$B$12,$I63-$J63)),$I63))</f>
        <v/>
      </c>
      <c r="O63">
        <f>IF($A63="","",IF(ISNUMBER($L63),$L63,IF($K63="","",$K63)))</f>
        <v/>
      </c>
      <c r="P63">
        <f>IF($A63="","",IF(ISNUMBER($L63),"OVERRIDE","MODEL"))</f>
        <v/>
      </c>
      <c r="Q63">
        <f>IF($A63="","",SETTINGS!$B$6)</f>
        <v/>
      </c>
      <c r="S63">
        <f>IF($A63="","",IF(ISNUMBER($R63),$R63,$Q63))</f>
        <v/>
      </c>
      <c r="W63">
        <f>IF($A63="","",SUMIFS(CLEAN!$AD$6:$AD$1005,CLEAN!$P$6:$P$1005,$A63)+SUMIFS(CLEAN!$AE$6:$AE$1005,CLEAN!$N$6:$N$1005,$A63))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MAP'!$C64)</f>
        <v/>
      </c>
      <c r="D64">
        <f>IF('TEAM MAP'!$A64="","",'TEAM MAP'!$E64)</f>
        <v/>
      </c>
      <c r="E64">
        <f>IF($A64="","",IF(ISNA(MATCH($A64,PRESEASON!$A$6:$A$143,0)),"",IF(INDEX(PRESEASON!$Z$6:$Z$143,MATCH($A64,PRESEASON!$A$6:$A$143,0))="","",INDEX(PRESEASON!$Z$6:$Z$143,MATCH($A64,PRESEASON!$A$6:$A$143,0)))))</f>
        <v/>
      </c>
      <c r="F64">
        <f>IF($A64="","",SUMIFS(CLEAN!$AB$6:$AB$1005,CLEAN!$P$6:$P$1005,$A64)+SUMIFS(CLEAN!$AC$6:$AC$1005,CLEAN!$N$6:$N$1005,$A64))</f>
        <v/>
      </c>
      <c r="G64">
        <f>IF(OR($A64="",$F64=""),"",IF(MIN($F64,9)&gt;=9,SETTINGS!$C$46,INDEX(SETTINGS!$C$37:$C$46,INT(MIN($F64,9))+1)+(MIN($F64,9)-INT(MIN($F64,9)))*(INDEX(SETTINGS!$C$37:$C$46,INT(MIN($F64,9))+2)-INDEX(SETTINGS!$C$37:$C$46,INT(MIN($F64,9))+1))))</f>
        <v/>
      </c>
      <c r="H64">
        <f>IF($A64="","",IF(ISNA(MATCH($A64,CALC!$A$6:$A$143,0)),"",IF(INDEX(CALC!$H$6:$H$143,MATCH($A64,CALC!$A$6:$A$143,0))="","",INDEX(CALC!$H$6:$H$143,MATCH($A64,CALC!$A$6:$A$143,0)))))</f>
        <v/>
      </c>
      <c r="I64">
        <f>IF($E64="","",IF(OR($H64="",$F64=0,$F64=""),$E64,$G64*$E64+(1-$G64)*$H64))</f>
        <v/>
      </c>
      <c r="J64">
        <f>IF(OR($A64="",SETTINGS!$B$4="",SETTINGS!$B$4&lt;=1),"",IF(COUNTIFS(HISTORY!$A$6:$A$3005,SETTINGS!$B$4-1,HISTORY!$B$6:$B$3005,$A64)=1,SUMIFS(HISTORY!$C$6:$C$3005,HISTORY!$A$6:$A$3005,SETTINGS!$B$4-1,HISTORY!$B$6:$B$3005,$A64),""))</f>
        <v/>
      </c>
      <c r="K64">
        <f>IF($I64="","",IF(ISNUMBER($J64),$J64+MAX(-SETTINGS!$B$12,MIN(SETTINGS!$B$12,$I64-$J64)),$I64))</f>
        <v/>
      </c>
      <c r="O64">
        <f>IF($A64="","",IF(ISNUMBER($L64),$L64,IF($K64="","",$K64)))</f>
        <v/>
      </c>
      <c r="P64">
        <f>IF($A64="","",IF(ISNUMBER($L64),"OVERRIDE","MODEL"))</f>
        <v/>
      </c>
      <c r="Q64">
        <f>IF($A64="","",SETTINGS!$B$6)</f>
        <v/>
      </c>
      <c r="S64">
        <f>IF($A64="","",IF(ISNUMBER($R64),$R64,$Q64))</f>
        <v/>
      </c>
      <c r="W64">
        <f>IF($A64="","",SUMIFS(CLEAN!$AD$6:$AD$1005,CLEAN!$P$6:$P$1005,$A64)+SUMIFS(CLEAN!$AE$6:$AE$1005,CLEAN!$N$6:$N$1005,$A64))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MAP'!$C65)</f>
        <v/>
      </c>
      <c r="D65">
        <f>IF('TEAM MAP'!$A65="","",'TEAM MAP'!$E65)</f>
        <v/>
      </c>
      <c r="E65">
        <f>IF($A65="","",IF(ISNA(MATCH($A65,PRESEASON!$A$6:$A$143,0)),"",IF(INDEX(PRESEASON!$Z$6:$Z$143,MATCH($A65,PRESEASON!$A$6:$A$143,0))="","",INDEX(PRESEASON!$Z$6:$Z$143,MATCH($A65,PRESEASON!$A$6:$A$143,0)))))</f>
        <v/>
      </c>
      <c r="F65">
        <f>IF($A65="","",SUMIFS(CLEAN!$AB$6:$AB$1005,CLEAN!$P$6:$P$1005,$A65)+SUMIFS(CLEAN!$AC$6:$AC$1005,CLEAN!$N$6:$N$1005,$A65))</f>
        <v/>
      </c>
      <c r="G65">
        <f>IF(OR($A65="",$F65=""),"",IF(MIN($F65,9)&gt;=9,SETTINGS!$C$46,INDEX(SETTINGS!$C$37:$C$46,INT(MIN($F65,9))+1)+(MIN($F65,9)-INT(MIN($F65,9)))*(INDEX(SETTINGS!$C$37:$C$46,INT(MIN($F65,9))+2)-INDEX(SETTINGS!$C$37:$C$46,INT(MIN($F65,9))+1))))</f>
        <v/>
      </c>
      <c r="H65">
        <f>IF($A65="","",IF(ISNA(MATCH($A65,CALC!$A$6:$A$143,0)),"",IF(INDEX(CALC!$H$6:$H$143,MATCH($A65,CALC!$A$6:$A$143,0))="","",INDEX(CALC!$H$6:$H$143,MATCH($A65,CALC!$A$6:$A$143,0)))))</f>
        <v/>
      </c>
      <c r="I65">
        <f>IF($E65="","",IF(OR($H65="",$F65=0,$F65=""),$E65,$G65*$E65+(1-$G65)*$H65))</f>
        <v/>
      </c>
      <c r="J65">
        <f>IF(OR($A65="",SETTINGS!$B$4="",SETTINGS!$B$4&lt;=1),"",IF(COUNTIFS(HISTORY!$A$6:$A$3005,SETTINGS!$B$4-1,HISTORY!$B$6:$B$3005,$A65)=1,SUMIFS(HISTORY!$C$6:$C$3005,HISTORY!$A$6:$A$3005,SETTINGS!$B$4-1,HISTORY!$B$6:$B$3005,$A65),""))</f>
        <v/>
      </c>
      <c r="K65">
        <f>IF($I65="","",IF(ISNUMBER($J65),$J65+MAX(-SETTINGS!$B$12,MIN(SETTINGS!$B$12,$I65-$J65)),$I65))</f>
        <v/>
      </c>
      <c r="O65">
        <f>IF($A65="","",IF(ISNUMBER($L65),$L65,IF($K65="","",$K65)))</f>
        <v/>
      </c>
      <c r="P65">
        <f>IF($A65="","",IF(ISNUMBER($L65),"OVERRIDE","MODEL"))</f>
        <v/>
      </c>
      <c r="Q65">
        <f>IF($A65="","",SETTINGS!$B$6)</f>
        <v/>
      </c>
      <c r="S65">
        <f>IF($A65="","",IF(ISNUMBER($R65),$R65,$Q65))</f>
        <v/>
      </c>
      <c r="W65">
        <f>IF($A65="","",SUMIFS(CLEAN!$AD$6:$AD$1005,CLEAN!$P$6:$P$1005,$A65)+SUMIFS(CLEAN!$AE$6:$AE$1005,CLEAN!$N$6:$N$1005,$A65))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MAP'!$C66)</f>
        <v/>
      </c>
      <c r="D66">
        <f>IF('TEAM MAP'!$A66="","",'TEAM MAP'!$E66)</f>
        <v/>
      </c>
      <c r="E66">
        <f>IF($A66="","",IF(ISNA(MATCH($A66,PRESEASON!$A$6:$A$143,0)),"",IF(INDEX(PRESEASON!$Z$6:$Z$143,MATCH($A66,PRESEASON!$A$6:$A$143,0))="","",INDEX(PRESEASON!$Z$6:$Z$143,MATCH($A66,PRESEASON!$A$6:$A$143,0)))))</f>
        <v/>
      </c>
      <c r="F66">
        <f>IF($A66="","",SUMIFS(CLEAN!$AB$6:$AB$1005,CLEAN!$P$6:$P$1005,$A66)+SUMIFS(CLEAN!$AC$6:$AC$1005,CLEAN!$N$6:$N$1005,$A66))</f>
        <v/>
      </c>
      <c r="G66">
        <f>IF(OR($A66="",$F66=""),"",IF(MIN($F66,9)&gt;=9,SETTINGS!$C$46,INDEX(SETTINGS!$C$37:$C$46,INT(MIN($F66,9))+1)+(MIN($F66,9)-INT(MIN($F66,9)))*(INDEX(SETTINGS!$C$37:$C$46,INT(MIN($F66,9))+2)-INDEX(SETTINGS!$C$37:$C$46,INT(MIN($F66,9))+1))))</f>
        <v/>
      </c>
      <c r="H66">
        <f>IF($A66="","",IF(ISNA(MATCH($A66,CALC!$A$6:$A$143,0)),"",IF(INDEX(CALC!$H$6:$H$143,MATCH($A66,CALC!$A$6:$A$143,0))="","",INDEX(CALC!$H$6:$H$143,MATCH($A66,CALC!$A$6:$A$143,0)))))</f>
        <v/>
      </c>
      <c r="I66">
        <f>IF($E66="","",IF(OR($H66="",$F66=0,$F66=""),$E66,$G66*$E66+(1-$G66)*$H66))</f>
        <v/>
      </c>
      <c r="J66">
        <f>IF(OR($A66="",SETTINGS!$B$4="",SETTINGS!$B$4&lt;=1),"",IF(COUNTIFS(HISTORY!$A$6:$A$3005,SETTINGS!$B$4-1,HISTORY!$B$6:$B$3005,$A66)=1,SUMIFS(HISTORY!$C$6:$C$3005,HISTORY!$A$6:$A$3005,SETTINGS!$B$4-1,HISTORY!$B$6:$B$3005,$A66),""))</f>
        <v/>
      </c>
      <c r="K66">
        <f>IF($I66="","",IF(ISNUMBER($J66),$J66+MAX(-SETTINGS!$B$12,MIN(SETTINGS!$B$12,$I66-$J66)),$I66))</f>
        <v/>
      </c>
      <c r="O66">
        <f>IF($A66="","",IF(ISNUMBER($L66),$L66,IF($K66="","",$K66)))</f>
        <v/>
      </c>
      <c r="P66">
        <f>IF($A66="","",IF(ISNUMBER($L66),"OVERRIDE","MODEL"))</f>
        <v/>
      </c>
      <c r="Q66">
        <f>IF($A66="","",SETTINGS!$B$6)</f>
        <v/>
      </c>
      <c r="S66">
        <f>IF($A66="","",IF(ISNUMBER($R66),$R66,$Q66))</f>
        <v/>
      </c>
      <c r="W66">
        <f>IF($A66="","",SUMIFS(CLEAN!$AD$6:$AD$1005,CLEAN!$P$6:$P$1005,$A66)+SUMIFS(CLEAN!$AE$6:$AE$1005,CLEAN!$N$6:$N$1005,$A66))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MAP'!$C67)</f>
        <v/>
      </c>
      <c r="D67">
        <f>IF('TEAM MAP'!$A67="","",'TEAM MAP'!$E67)</f>
        <v/>
      </c>
      <c r="E67">
        <f>IF($A67="","",IF(ISNA(MATCH($A67,PRESEASON!$A$6:$A$143,0)),"",IF(INDEX(PRESEASON!$Z$6:$Z$143,MATCH($A67,PRESEASON!$A$6:$A$143,0))="","",INDEX(PRESEASON!$Z$6:$Z$143,MATCH($A67,PRESEASON!$A$6:$A$143,0)))))</f>
        <v/>
      </c>
      <c r="F67">
        <f>IF($A67="","",SUMIFS(CLEAN!$AB$6:$AB$1005,CLEAN!$P$6:$P$1005,$A67)+SUMIFS(CLEAN!$AC$6:$AC$1005,CLEAN!$N$6:$N$1005,$A67))</f>
        <v/>
      </c>
      <c r="G67">
        <f>IF(OR($A67="",$F67=""),"",IF(MIN($F67,9)&gt;=9,SETTINGS!$C$46,INDEX(SETTINGS!$C$37:$C$46,INT(MIN($F67,9))+1)+(MIN($F67,9)-INT(MIN($F67,9)))*(INDEX(SETTINGS!$C$37:$C$46,INT(MIN($F67,9))+2)-INDEX(SETTINGS!$C$37:$C$46,INT(MIN($F67,9))+1))))</f>
        <v/>
      </c>
      <c r="H67">
        <f>IF($A67="","",IF(ISNA(MATCH($A67,CALC!$A$6:$A$143,0)),"",IF(INDEX(CALC!$H$6:$H$143,MATCH($A67,CALC!$A$6:$A$143,0))="","",INDEX(CALC!$H$6:$H$143,MATCH($A67,CALC!$A$6:$A$143,0)))))</f>
        <v/>
      </c>
      <c r="I67">
        <f>IF($E67="","",IF(OR($H67="",$F67=0,$F67=""),$E67,$G67*$E67+(1-$G67)*$H67))</f>
        <v/>
      </c>
      <c r="J67">
        <f>IF(OR($A67="",SETTINGS!$B$4="",SETTINGS!$B$4&lt;=1),"",IF(COUNTIFS(HISTORY!$A$6:$A$3005,SETTINGS!$B$4-1,HISTORY!$B$6:$B$3005,$A67)=1,SUMIFS(HISTORY!$C$6:$C$3005,HISTORY!$A$6:$A$3005,SETTINGS!$B$4-1,HISTORY!$B$6:$B$3005,$A67),""))</f>
        <v/>
      </c>
      <c r="K67">
        <f>IF($I67="","",IF(ISNUMBER($J67),$J67+MAX(-SETTINGS!$B$12,MIN(SETTINGS!$B$12,$I67-$J67)),$I67))</f>
        <v/>
      </c>
      <c r="O67">
        <f>IF($A67="","",IF(ISNUMBER($L67),$L67,IF($K67="","",$K67)))</f>
        <v/>
      </c>
      <c r="P67">
        <f>IF($A67="","",IF(ISNUMBER($L67),"OVERRIDE","MODEL"))</f>
        <v/>
      </c>
      <c r="Q67">
        <f>IF($A67="","",SETTINGS!$B$6)</f>
        <v/>
      </c>
      <c r="S67">
        <f>IF($A67="","",IF(ISNUMBER($R67),$R67,$Q67))</f>
        <v/>
      </c>
      <c r="W67">
        <f>IF($A67="","",SUMIFS(CLEAN!$AD$6:$AD$1005,CLEAN!$P$6:$P$1005,$A67)+SUMIFS(CLEAN!$AE$6:$AE$1005,CLEAN!$N$6:$N$1005,$A67))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MAP'!$C68)</f>
        <v/>
      </c>
      <c r="D68">
        <f>IF('TEAM MAP'!$A68="","",'TEAM MAP'!$E68)</f>
        <v/>
      </c>
      <c r="E68">
        <f>IF($A68="","",IF(ISNA(MATCH($A68,PRESEASON!$A$6:$A$143,0)),"",IF(INDEX(PRESEASON!$Z$6:$Z$143,MATCH($A68,PRESEASON!$A$6:$A$143,0))="","",INDEX(PRESEASON!$Z$6:$Z$143,MATCH($A68,PRESEASON!$A$6:$A$143,0)))))</f>
        <v/>
      </c>
      <c r="F68">
        <f>IF($A68="","",SUMIFS(CLEAN!$AB$6:$AB$1005,CLEAN!$P$6:$P$1005,$A68)+SUMIFS(CLEAN!$AC$6:$AC$1005,CLEAN!$N$6:$N$1005,$A68))</f>
        <v/>
      </c>
      <c r="G68">
        <f>IF(OR($A68="",$F68=""),"",IF(MIN($F68,9)&gt;=9,SETTINGS!$C$46,INDEX(SETTINGS!$C$37:$C$46,INT(MIN($F68,9))+1)+(MIN($F68,9)-INT(MIN($F68,9)))*(INDEX(SETTINGS!$C$37:$C$46,INT(MIN($F68,9))+2)-INDEX(SETTINGS!$C$37:$C$46,INT(MIN($F68,9))+1))))</f>
        <v/>
      </c>
      <c r="H68">
        <f>IF($A68="","",IF(ISNA(MATCH($A68,CALC!$A$6:$A$143,0)),"",IF(INDEX(CALC!$H$6:$H$143,MATCH($A68,CALC!$A$6:$A$143,0))="","",INDEX(CALC!$H$6:$H$143,MATCH($A68,CALC!$A$6:$A$143,0)))))</f>
        <v/>
      </c>
      <c r="I68">
        <f>IF($E68="","",IF(OR($H68="",$F68=0,$F68=""),$E68,$G68*$E68+(1-$G68)*$H68))</f>
        <v/>
      </c>
      <c r="J68">
        <f>IF(OR($A68="",SETTINGS!$B$4="",SETTINGS!$B$4&lt;=1),"",IF(COUNTIFS(HISTORY!$A$6:$A$3005,SETTINGS!$B$4-1,HISTORY!$B$6:$B$3005,$A68)=1,SUMIFS(HISTORY!$C$6:$C$3005,HISTORY!$A$6:$A$3005,SETTINGS!$B$4-1,HISTORY!$B$6:$B$3005,$A68),""))</f>
        <v/>
      </c>
      <c r="K68">
        <f>IF($I68="","",IF(ISNUMBER($J68),$J68+MAX(-SETTINGS!$B$12,MIN(SETTINGS!$B$12,$I68-$J68)),$I68))</f>
        <v/>
      </c>
      <c r="O68">
        <f>IF($A68="","",IF(ISNUMBER($L68),$L68,IF($K68="","",$K68)))</f>
        <v/>
      </c>
      <c r="P68">
        <f>IF($A68="","",IF(ISNUMBER($L68),"OVERRIDE","MODEL"))</f>
        <v/>
      </c>
      <c r="Q68">
        <f>IF($A68="","",SETTINGS!$B$6)</f>
        <v/>
      </c>
      <c r="S68">
        <f>IF($A68="","",IF(ISNUMBER($R68),$R68,$Q68))</f>
        <v/>
      </c>
      <c r="W68">
        <f>IF($A68="","",SUMIFS(CLEAN!$AD$6:$AD$1005,CLEAN!$P$6:$P$1005,$A68)+SUMIFS(CLEAN!$AE$6:$AE$1005,CLEAN!$N$6:$N$1005,$A68))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MAP'!$C69)</f>
        <v/>
      </c>
      <c r="D69">
        <f>IF('TEAM MAP'!$A69="","",'TEAM MAP'!$E69)</f>
        <v/>
      </c>
      <c r="E69">
        <f>IF($A69="","",IF(ISNA(MATCH($A69,PRESEASON!$A$6:$A$143,0)),"",IF(INDEX(PRESEASON!$Z$6:$Z$143,MATCH($A69,PRESEASON!$A$6:$A$143,0))="","",INDEX(PRESEASON!$Z$6:$Z$143,MATCH($A69,PRESEASON!$A$6:$A$143,0)))))</f>
        <v/>
      </c>
      <c r="F69">
        <f>IF($A69="","",SUMIFS(CLEAN!$AB$6:$AB$1005,CLEAN!$P$6:$P$1005,$A69)+SUMIFS(CLEAN!$AC$6:$AC$1005,CLEAN!$N$6:$N$1005,$A69))</f>
        <v/>
      </c>
      <c r="G69">
        <f>IF(OR($A69="",$F69=""),"",IF(MIN($F69,9)&gt;=9,SETTINGS!$C$46,INDEX(SETTINGS!$C$37:$C$46,INT(MIN($F69,9))+1)+(MIN($F69,9)-INT(MIN($F69,9)))*(INDEX(SETTINGS!$C$37:$C$46,INT(MIN($F69,9))+2)-INDEX(SETTINGS!$C$37:$C$46,INT(MIN($F69,9))+1))))</f>
        <v/>
      </c>
      <c r="H69">
        <f>IF($A69="","",IF(ISNA(MATCH($A69,CALC!$A$6:$A$143,0)),"",IF(INDEX(CALC!$H$6:$H$143,MATCH($A69,CALC!$A$6:$A$143,0))="","",INDEX(CALC!$H$6:$H$143,MATCH($A69,CALC!$A$6:$A$143,0)))))</f>
        <v/>
      </c>
      <c r="I69">
        <f>IF($E69="","",IF(OR($H69="",$F69=0,$F69=""),$E69,$G69*$E69+(1-$G69)*$H69))</f>
        <v/>
      </c>
      <c r="J69">
        <f>IF(OR($A69="",SETTINGS!$B$4="",SETTINGS!$B$4&lt;=1),"",IF(COUNTIFS(HISTORY!$A$6:$A$3005,SETTINGS!$B$4-1,HISTORY!$B$6:$B$3005,$A69)=1,SUMIFS(HISTORY!$C$6:$C$3005,HISTORY!$A$6:$A$3005,SETTINGS!$B$4-1,HISTORY!$B$6:$B$3005,$A69),""))</f>
        <v/>
      </c>
      <c r="K69">
        <f>IF($I69="","",IF(ISNUMBER($J69),$J69+MAX(-SETTINGS!$B$12,MIN(SETTINGS!$B$12,$I69-$J69)),$I69))</f>
        <v/>
      </c>
      <c r="O69">
        <f>IF($A69="","",IF(ISNUMBER($L69),$L69,IF($K69="","",$K69)))</f>
        <v/>
      </c>
      <c r="P69">
        <f>IF($A69="","",IF(ISNUMBER($L69),"OVERRIDE","MODEL"))</f>
        <v/>
      </c>
      <c r="Q69">
        <f>IF($A69="","",SETTINGS!$B$6)</f>
        <v/>
      </c>
      <c r="S69">
        <f>IF($A69="","",IF(ISNUMBER($R69),$R69,$Q69))</f>
        <v/>
      </c>
      <c r="W69">
        <f>IF($A69="","",SUMIFS(CLEAN!$AD$6:$AD$1005,CLEAN!$P$6:$P$1005,$A69)+SUMIFS(CLEAN!$AE$6:$AE$1005,CLEAN!$N$6:$N$1005,$A69))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MAP'!$C70)</f>
        <v/>
      </c>
      <c r="D70">
        <f>IF('TEAM MAP'!$A70="","",'TEAM MAP'!$E70)</f>
        <v/>
      </c>
      <c r="E70">
        <f>IF($A70="","",IF(ISNA(MATCH($A70,PRESEASON!$A$6:$A$143,0)),"",IF(INDEX(PRESEASON!$Z$6:$Z$143,MATCH($A70,PRESEASON!$A$6:$A$143,0))="","",INDEX(PRESEASON!$Z$6:$Z$143,MATCH($A70,PRESEASON!$A$6:$A$143,0)))))</f>
        <v/>
      </c>
      <c r="F70">
        <f>IF($A70="","",SUMIFS(CLEAN!$AB$6:$AB$1005,CLEAN!$P$6:$P$1005,$A70)+SUMIFS(CLEAN!$AC$6:$AC$1005,CLEAN!$N$6:$N$1005,$A70))</f>
        <v/>
      </c>
      <c r="G70">
        <f>IF(OR($A70="",$F70=""),"",IF(MIN($F70,9)&gt;=9,SETTINGS!$C$46,INDEX(SETTINGS!$C$37:$C$46,INT(MIN($F70,9))+1)+(MIN($F70,9)-INT(MIN($F70,9)))*(INDEX(SETTINGS!$C$37:$C$46,INT(MIN($F70,9))+2)-INDEX(SETTINGS!$C$37:$C$46,INT(MIN($F70,9))+1))))</f>
        <v/>
      </c>
      <c r="H70">
        <f>IF($A70="","",IF(ISNA(MATCH($A70,CALC!$A$6:$A$143,0)),"",IF(INDEX(CALC!$H$6:$H$143,MATCH($A70,CALC!$A$6:$A$143,0))="","",INDEX(CALC!$H$6:$H$143,MATCH($A70,CALC!$A$6:$A$143,0)))))</f>
        <v/>
      </c>
      <c r="I70">
        <f>IF($E70="","",IF(OR($H70="",$F70=0,$F70=""),$E70,$G70*$E70+(1-$G70)*$H70))</f>
        <v/>
      </c>
      <c r="J70">
        <f>IF(OR($A70="",SETTINGS!$B$4="",SETTINGS!$B$4&lt;=1),"",IF(COUNTIFS(HISTORY!$A$6:$A$3005,SETTINGS!$B$4-1,HISTORY!$B$6:$B$3005,$A70)=1,SUMIFS(HISTORY!$C$6:$C$3005,HISTORY!$A$6:$A$3005,SETTINGS!$B$4-1,HISTORY!$B$6:$B$3005,$A70),""))</f>
        <v/>
      </c>
      <c r="K70">
        <f>IF($I70="","",IF(ISNUMBER($J70),$J70+MAX(-SETTINGS!$B$12,MIN(SETTINGS!$B$12,$I70-$J70)),$I70))</f>
        <v/>
      </c>
      <c r="O70">
        <f>IF($A70="","",IF(ISNUMBER($L70),$L70,IF($K70="","",$K70)))</f>
        <v/>
      </c>
      <c r="P70">
        <f>IF($A70="","",IF(ISNUMBER($L70),"OVERRIDE","MODEL"))</f>
        <v/>
      </c>
      <c r="Q70">
        <f>IF($A70="","",SETTINGS!$B$6)</f>
        <v/>
      </c>
      <c r="S70">
        <f>IF($A70="","",IF(ISNUMBER($R70),$R70,$Q70))</f>
        <v/>
      </c>
      <c r="W70">
        <f>IF($A70="","",SUMIFS(CLEAN!$AD$6:$AD$1005,CLEAN!$P$6:$P$1005,$A70)+SUMIFS(CLEAN!$AE$6:$AE$1005,CLEAN!$N$6:$N$1005,$A70))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MAP'!$C71)</f>
        <v/>
      </c>
      <c r="D71">
        <f>IF('TEAM MAP'!$A71="","",'TEAM MAP'!$E71)</f>
        <v/>
      </c>
      <c r="E71">
        <f>IF($A71="","",IF(ISNA(MATCH($A71,PRESEASON!$A$6:$A$143,0)),"",IF(INDEX(PRESEASON!$Z$6:$Z$143,MATCH($A71,PRESEASON!$A$6:$A$143,0))="","",INDEX(PRESEASON!$Z$6:$Z$143,MATCH($A71,PRESEASON!$A$6:$A$143,0)))))</f>
        <v/>
      </c>
      <c r="F71">
        <f>IF($A71="","",SUMIFS(CLEAN!$AB$6:$AB$1005,CLEAN!$P$6:$P$1005,$A71)+SUMIFS(CLEAN!$AC$6:$AC$1005,CLEAN!$N$6:$N$1005,$A71))</f>
        <v/>
      </c>
      <c r="G71">
        <f>IF(OR($A71="",$F71=""),"",IF(MIN($F71,9)&gt;=9,SETTINGS!$C$46,INDEX(SETTINGS!$C$37:$C$46,INT(MIN($F71,9))+1)+(MIN($F71,9)-INT(MIN($F71,9)))*(INDEX(SETTINGS!$C$37:$C$46,INT(MIN($F71,9))+2)-INDEX(SETTINGS!$C$37:$C$46,INT(MIN($F71,9))+1))))</f>
        <v/>
      </c>
      <c r="H71">
        <f>IF($A71="","",IF(ISNA(MATCH($A71,CALC!$A$6:$A$143,0)),"",IF(INDEX(CALC!$H$6:$H$143,MATCH($A71,CALC!$A$6:$A$143,0))="","",INDEX(CALC!$H$6:$H$143,MATCH($A71,CALC!$A$6:$A$143,0)))))</f>
        <v/>
      </c>
      <c r="I71">
        <f>IF($E71="","",IF(OR($H71="",$F71=0,$F71=""),$E71,$G71*$E71+(1-$G71)*$H71))</f>
        <v/>
      </c>
      <c r="J71">
        <f>IF(OR($A71="",SETTINGS!$B$4="",SETTINGS!$B$4&lt;=1),"",IF(COUNTIFS(HISTORY!$A$6:$A$3005,SETTINGS!$B$4-1,HISTORY!$B$6:$B$3005,$A71)=1,SUMIFS(HISTORY!$C$6:$C$3005,HISTORY!$A$6:$A$3005,SETTINGS!$B$4-1,HISTORY!$B$6:$B$3005,$A71),""))</f>
        <v/>
      </c>
      <c r="K71">
        <f>IF($I71="","",IF(ISNUMBER($J71),$J71+MAX(-SETTINGS!$B$12,MIN(SETTINGS!$B$12,$I71-$J71)),$I71))</f>
        <v/>
      </c>
      <c r="O71">
        <f>IF($A71="","",IF(ISNUMBER($L71),$L71,IF($K71="","",$K71)))</f>
        <v/>
      </c>
      <c r="P71">
        <f>IF($A71="","",IF(ISNUMBER($L71),"OVERRIDE","MODEL"))</f>
        <v/>
      </c>
      <c r="Q71">
        <f>IF($A71="","",SETTINGS!$B$6)</f>
        <v/>
      </c>
      <c r="S71">
        <f>IF($A71="","",IF(ISNUMBER($R71),$R71,$Q71))</f>
        <v/>
      </c>
      <c r="W71">
        <f>IF($A71="","",SUMIFS(CLEAN!$AD$6:$AD$1005,CLEAN!$P$6:$P$1005,$A71)+SUMIFS(CLEAN!$AE$6:$AE$1005,CLEAN!$N$6:$N$1005,$A71))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MAP'!$C72)</f>
        <v/>
      </c>
      <c r="D72">
        <f>IF('TEAM MAP'!$A72="","",'TEAM MAP'!$E72)</f>
        <v/>
      </c>
      <c r="E72">
        <f>IF($A72="","",IF(ISNA(MATCH($A72,PRESEASON!$A$6:$A$143,0)),"",IF(INDEX(PRESEASON!$Z$6:$Z$143,MATCH($A72,PRESEASON!$A$6:$A$143,0))="","",INDEX(PRESEASON!$Z$6:$Z$143,MATCH($A72,PRESEASON!$A$6:$A$143,0)))))</f>
        <v/>
      </c>
      <c r="F72">
        <f>IF($A72="","",SUMIFS(CLEAN!$AB$6:$AB$1005,CLEAN!$P$6:$P$1005,$A72)+SUMIFS(CLEAN!$AC$6:$AC$1005,CLEAN!$N$6:$N$1005,$A72))</f>
        <v/>
      </c>
      <c r="G72">
        <f>IF(OR($A72="",$F72=""),"",IF(MIN($F72,9)&gt;=9,SETTINGS!$C$46,INDEX(SETTINGS!$C$37:$C$46,INT(MIN($F72,9))+1)+(MIN($F72,9)-INT(MIN($F72,9)))*(INDEX(SETTINGS!$C$37:$C$46,INT(MIN($F72,9))+2)-INDEX(SETTINGS!$C$37:$C$46,INT(MIN($F72,9))+1))))</f>
        <v/>
      </c>
      <c r="H72">
        <f>IF($A72="","",IF(ISNA(MATCH($A72,CALC!$A$6:$A$143,0)),"",IF(INDEX(CALC!$H$6:$H$143,MATCH($A72,CALC!$A$6:$A$143,0))="","",INDEX(CALC!$H$6:$H$143,MATCH($A72,CALC!$A$6:$A$143,0)))))</f>
        <v/>
      </c>
      <c r="I72">
        <f>IF($E72="","",IF(OR($H72="",$F72=0,$F72=""),$E72,$G72*$E72+(1-$G72)*$H72))</f>
        <v/>
      </c>
      <c r="J72">
        <f>IF(OR($A72="",SETTINGS!$B$4="",SETTINGS!$B$4&lt;=1),"",IF(COUNTIFS(HISTORY!$A$6:$A$3005,SETTINGS!$B$4-1,HISTORY!$B$6:$B$3005,$A72)=1,SUMIFS(HISTORY!$C$6:$C$3005,HISTORY!$A$6:$A$3005,SETTINGS!$B$4-1,HISTORY!$B$6:$B$3005,$A72),""))</f>
        <v/>
      </c>
      <c r="K72">
        <f>IF($I72="","",IF(ISNUMBER($J72),$J72+MAX(-SETTINGS!$B$12,MIN(SETTINGS!$B$12,$I72-$J72)),$I72))</f>
        <v/>
      </c>
      <c r="O72">
        <f>IF($A72="","",IF(ISNUMBER($L72),$L72,IF($K72="","",$K72)))</f>
        <v/>
      </c>
      <c r="P72">
        <f>IF($A72="","",IF(ISNUMBER($L72),"OVERRIDE","MODEL"))</f>
        <v/>
      </c>
      <c r="Q72">
        <f>IF($A72="","",SETTINGS!$B$6)</f>
        <v/>
      </c>
      <c r="S72">
        <f>IF($A72="","",IF(ISNUMBER($R72),$R72,$Q72))</f>
        <v/>
      </c>
      <c r="W72">
        <f>IF($A72="","",SUMIFS(CLEAN!$AD$6:$AD$1005,CLEAN!$P$6:$P$1005,$A72)+SUMIFS(CLEAN!$AE$6:$AE$1005,CLEAN!$N$6:$N$1005,$A72))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MAP'!$C73)</f>
        <v/>
      </c>
      <c r="D73">
        <f>IF('TEAM MAP'!$A73="","",'TEAM MAP'!$E73)</f>
        <v/>
      </c>
      <c r="E73">
        <f>IF($A73="","",IF(ISNA(MATCH($A73,PRESEASON!$A$6:$A$143,0)),"",IF(INDEX(PRESEASON!$Z$6:$Z$143,MATCH($A73,PRESEASON!$A$6:$A$143,0))="","",INDEX(PRESEASON!$Z$6:$Z$143,MATCH($A73,PRESEASON!$A$6:$A$143,0)))))</f>
        <v/>
      </c>
      <c r="F73">
        <f>IF($A73="","",SUMIFS(CLEAN!$AB$6:$AB$1005,CLEAN!$P$6:$P$1005,$A73)+SUMIFS(CLEAN!$AC$6:$AC$1005,CLEAN!$N$6:$N$1005,$A73))</f>
        <v/>
      </c>
      <c r="G73">
        <f>IF(OR($A73="",$F73=""),"",IF(MIN($F73,9)&gt;=9,SETTINGS!$C$46,INDEX(SETTINGS!$C$37:$C$46,INT(MIN($F73,9))+1)+(MIN($F73,9)-INT(MIN($F73,9)))*(INDEX(SETTINGS!$C$37:$C$46,INT(MIN($F73,9))+2)-INDEX(SETTINGS!$C$37:$C$46,INT(MIN($F73,9))+1))))</f>
        <v/>
      </c>
      <c r="H73">
        <f>IF($A73="","",IF(ISNA(MATCH($A73,CALC!$A$6:$A$143,0)),"",IF(INDEX(CALC!$H$6:$H$143,MATCH($A73,CALC!$A$6:$A$143,0))="","",INDEX(CALC!$H$6:$H$143,MATCH($A73,CALC!$A$6:$A$143,0)))))</f>
        <v/>
      </c>
      <c r="I73">
        <f>IF($E73="","",IF(OR($H73="",$F73=0,$F73=""),$E73,$G73*$E73+(1-$G73)*$H73))</f>
        <v/>
      </c>
      <c r="J73">
        <f>IF(OR($A73="",SETTINGS!$B$4="",SETTINGS!$B$4&lt;=1),"",IF(COUNTIFS(HISTORY!$A$6:$A$3005,SETTINGS!$B$4-1,HISTORY!$B$6:$B$3005,$A73)=1,SUMIFS(HISTORY!$C$6:$C$3005,HISTORY!$A$6:$A$3005,SETTINGS!$B$4-1,HISTORY!$B$6:$B$3005,$A73),""))</f>
        <v/>
      </c>
      <c r="K73">
        <f>IF($I73="","",IF(ISNUMBER($J73),$J73+MAX(-SETTINGS!$B$12,MIN(SETTINGS!$B$12,$I73-$J73)),$I73))</f>
        <v/>
      </c>
      <c r="O73">
        <f>IF($A73="","",IF(ISNUMBER($L73),$L73,IF($K73="","",$K73)))</f>
        <v/>
      </c>
      <c r="P73">
        <f>IF($A73="","",IF(ISNUMBER($L73),"OVERRIDE","MODEL"))</f>
        <v/>
      </c>
      <c r="Q73">
        <f>IF($A73="","",SETTINGS!$B$6)</f>
        <v/>
      </c>
      <c r="S73">
        <f>IF($A73="","",IF(ISNUMBER($R73),$R73,$Q73))</f>
        <v/>
      </c>
      <c r="W73">
        <f>IF($A73="","",SUMIFS(CLEAN!$AD$6:$AD$1005,CLEAN!$P$6:$P$1005,$A73)+SUMIFS(CLEAN!$AE$6:$AE$1005,CLEAN!$N$6:$N$1005,$A73))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MAP'!$C74)</f>
        <v/>
      </c>
      <c r="D74">
        <f>IF('TEAM MAP'!$A74="","",'TEAM MAP'!$E74)</f>
        <v/>
      </c>
      <c r="E74">
        <f>IF($A74="","",IF(ISNA(MATCH($A74,PRESEASON!$A$6:$A$143,0)),"",IF(INDEX(PRESEASON!$Z$6:$Z$143,MATCH($A74,PRESEASON!$A$6:$A$143,0))="","",INDEX(PRESEASON!$Z$6:$Z$143,MATCH($A74,PRESEASON!$A$6:$A$143,0)))))</f>
        <v/>
      </c>
      <c r="F74">
        <f>IF($A74="","",SUMIFS(CLEAN!$AB$6:$AB$1005,CLEAN!$P$6:$P$1005,$A74)+SUMIFS(CLEAN!$AC$6:$AC$1005,CLEAN!$N$6:$N$1005,$A74))</f>
        <v/>
      </c>
      <c r="G74">
        <f>IF(OR($A74="",$F74=""),"",IF(MIN($F74,9)&gt;=9,SETTINGS!$C$46,INDEX(SETTINGS!$C$37:$C$46,INT(MIN($F74,9))+1)+(MIN($F74,9)-INT(MIN($F74,9)))*(INDEX(SETTINGS!$C$37:$C$46,INT(MIN($F74,9))+2)-INDEX(SETTINGS!$C$37:$C$46,INT(MIN($F74,9))+1))))</f>
        <v/>
      </c>
      <c r="H74">
        <f>IF($A74="","",IF(ISNA(MATCH($A74,CALC!$A$6:$A$143,0)),"",IF(INDEX(CALC!$H$6:$H$143,MATCH($A74,CALC!$A$6:$A$143,0))="","",INDEX(CALC!$H$6:$H$143,MATCH($A74,CALC!$A$6:$A$143,0)))))</f>
        <v/>
      </c>
      <c r="I74">
        <f>IF($E74="","",IF(OR($H74="",$F74=0,$F74=""),$E74,$G74*$E74+(1-$G74)*$H74))</f>
        <v/>
      </c>
      <c r="J74">
        <f>IF(OR($A74="",SETTINGS!$B$4="",SETTINGS!$B$4&lt;=1),"",IF(COUNTIFS(HISTORY!$A$6:$A$3005,SETTINGS!$B$4-1,HISTORY!$B$6:$B$3005,$A74)=1,SUMIFS(HISTORY!$C$6:$C$3005,HISTORY!$A$6:$A$3005,SETTINGS!$B$4-1,HISTORY!$B$6:$B$3005,$A74),""))</f>
        <v/>
      </c>
      <c r="K74">
        <f>IF($I74="","",IF(ISNUMBER($J74),$J74+MAX(-SETTINGS!$B$12,MIN(SETTINGS!$B$12,$I74-$J74)),$I74))</f>
        <v/>
      </c>
      <c r="O74">
        <f>IF($A74="","",IF(ISNUMBER($L74),$L74,IF($K74="","",$K74)))</f>
        <v/>
      </c>
      <c r="P74">
        <f>IF($A74="","",IF(ISNUMBER($L74),"OVERRIDE","MODEL"))</f>
        <v/>
      </c>
      <c r="Q74">
        <f>IF($A74="","",SETTINGS!$B$6)</f>
        <v/>
      </c>
      <c r="S74">
        <f>IF($A74="","",IF(ISNUMBER($R74),$R74,$Q74))</f>
        <v/>
      </c>
      <c r="W74">
        <f>IF($A74="","",SUMIFS(CLEAN!$AD$6:$AD$1005,CLEAN!$P$6:$P$1005,$A74)+SUMIFS(CLEAN!$AE$6:$AE$1005,CLEAN!$N$6:$N$1005,$A74))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MAP'!$C75)</f>
        <v/>
      </c>
      <c r="D75">
        <f>IF('TEAM MAP'!$A75="","",'TEAM MAP'!$E75)</f>
        <v/>
      </c>
      <c r="E75">
        <f>IF($A75="","",IF(ISNA(MATCH($A75,PRESEASON!$A$6:$A$143,0)),"",IF(INDEX(PRESEASON!$Z$6:$Z$143,MATCH($A75,PRESEASON!$A$6:$A$143,0))="","",INDEX(PRESEASON!$Z$6:$Z$143,MATCH($A75,PRESEASON!$A$6:$A$143,0)))))</f>
        <v/>
      </c>
      <c r="F75">
        <f>IF($A75="","",SUMIFS(CLEAN!$AB$6:$AB$1005,CLEAN!$P$6:$P$1005,$A75)+SUMIFS(CLEAN!$AC$6:$AC$1005,CLEAN!$N$6:$N$1005,$A75))</f>
        <v/>
      </c>
      <c r="G75">
        <f>IF(OR($A75="",$F75=""),"",IF(MIN($F75,9)&gt;=9,SETTINGS!$C$46,INDEX(SETTINGS!$C$37:$C$46,INT(MIN($F75,9))+1)+(MIN($F75,9)-INT(MIN($F75,9)))*(INDEX(SETTINGS!$C$37:$C$46,INT(MIN($F75,9))+2)-INDEX(SETTINGS!$C$37:$C$46,INT(MIN($F75,9))+1))))</f>
        <v/>
      </c>
      <c r="H75">
        <f>IF($A75="","",IF(ISNA(MATCH($A75,CALC!$A$6:$A$143,0)),"",IF(INDEX(CALC!$H$6:$H$143,MATCH($A75,CALC!$A$6:$A$143,0))="","",INDEX(CALC!$H$6:$H$143,MATCH($A75,CALC!$A$6:$A$143,0)))))</f>
        <v/>
      </c>
      <c r="I75">
        <f>IF($E75="","",IF(OR($H75="",$F75=0,$F75=""),$E75,$G75*$E75+(1-$G75)*$H75))</f>
        <v/>
      </c>
      <c r="J75">
        <f>IF(OR($A75="",SETTINGS!$B$4="",SETTINGS!$B$4&lt;=1),"",IF(COUNTIFS(HISTORY!$A$6:$A$3005,SETTINGS!$B$4-1,HISTORY!$B$6:$B$3005,$A75)=1,SUMIFS(HISTORY!$C$6:$C$3005,HISTORY!$A$6:$A$3005,SETTINGS!$B$4-1,HISTORY!$B$6:$B$3005,$A75),""))</f>
        <v/>
      </c>
      <c r="K75">
        <f>IF($I75="","",IF(ISNUMBER($J75),$J75+MAX(-SETTINGS!$B$12,MIN(SETTINGS!$B$12,$I75-$J75)),$I75))</f>
        <v/>
      </c>
      <c r="O75">
        <f>IF($A75="","",IF(ISNUMBER($L75),$L75,IF($K75="","",$K75)))</f>
        <v/>
      </c>
      <c r="P75">
        <f>IF($A75="","",IF(ISNUMBER($L75),"OVERRIDE","MODEL"))</f>
        <v/>
      </c>
      <c r="Q75">
        <f>IF($A75="","",SETTINGS!$B$6)</f>
        <v/>
      </c>
      <c r="S75">
        <f>IF($A75="","",IF(ISNUMBER($R75),$R75,$Q75))</f>
        <v/>
      </c>
      <c r="W75">
        <f>IF($A75="","",SUMIFS(CLEAN!$AD$6:$AD$1005,CLEAN!$P$6:$P$1005,$A75)+SUMIFS(CLEAN!$AE$6:$AE$1005,CLEAN!$N$6:$N$1005,$A75))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MAP'!$C76)</f>
        <v/>
      </c>
      <c r="D76">
        <f>IF('TEAM MAP'!$A76="","",'TEAM MAP'!$E76)</f>
        <v/>
      </c>
      <c r="E76">
        <f>IF($A76="","",IF(ISNA(MATCH($A76,PRESEASON!$A$6:$A$143,0)),"",IF(INDEX(PRESEASON!$Z$6:$Z$143,MATCH($A76,PRESEASON!$A$6:$A$143,0))="","",INDEX(PRESEASON!$Z$6:$Z$143,MATCH($A76,PRESEASON!$A$6:$A$143,0)))))</f>
        <v/>
      </c>
      <c r="F76">
        <f>IF($A76="","",SUMIFS(CLEAN!$AB$6:$AB$1005,CLEAN!$P$6:$P$1005,$A76)+SUMIFS(CLEAN!$AC$6:$AC$1005,CLEAN!$N$6:$N$1005,$A76))</f>
        <v/>
      </c>
      <c r="G76">
        <f>IF(OR($A76="",$F76=""),"",IF(MIN($F76,9)&gt;=9,SETTINGS!$C$46,INDEX(SETTINGS!$C$37:$C$46,INT(MIN($F76,9))+1)+(MIN($F76,9)-INT(MIN($F76,9)))*(INDEX(SETTINGS!$C$37:$C$46,INT(MIN($F76,9))+2)-INDEX(SETTINGS!$C$37:$C$46,INT(MIN($F76,9))+1))))</f>
        <v/>
      </c>
      <c r="H76">
        <f>IF($A76="","",IF(ISNA(MATCH($A76,CALC!$A$6:$A$143,0)),"",IF(INDEX(CALC!$H$6:$H$143,MATCH($A76,CALC!$A$6:$A$143,0))="","",INDEX(CALC!$H$6:$H$143,MATCH($A76,CALC!$A$6:$A$143,0)))))</f>
        <v/>
      </c>
      <c r="I76">
        <f>IF($E76="","",IF(OR($H76="",$F76=0,$F76=""),$E76,$G76*$E76+(1-$G76)*$H76))</f>
        <v/>
      </c>
      <c r="J76">
        <f>IF(OR($A76="",SETTINGS!$B$4="",SETTINGS!$B$4&lt;=1),"",IF(COUNTIFS(HISTORY!$A$6:$A$3005,SETTINGS!$B$4-1,HISTORY!$B$6:$B$3005,$A76)=1,SUMIFS(HISTORY!$C$6:$C$3005,HISTORY!$A$6:$A$3005,SETTINGS!$B$4-1,HISTORY!$B$6:$B$3005,$A76),""))</f>
        <v/>
      </c>
      <c r="K76">
        <f>IF($I76="","",IF(ISNUMBER($J76),$J76+MAX(-SETTINGS!$B$12,MIN(SETTINGS!$B$12,$I76-$J76)),$I76))</f>
        <v/>
      </c>
      <c r="O76">
        <f>IF($A76="","",IF(ISNUMBER($L76),$L76,IF($K76="","",$K76)))</f>
        <v/>
      </c>
      <c r="P76">
        <f>IF($A76="","",IF(ISNUMBER($L76),"OVERRIDE","MODEL"))</f>
        <v/>
      </c>
      <c r="Q76">
        <f>IF($A76="","",SETTINGS!$B$6)</f>
        <v/>
      </c>
      <c r="S76">
        <f>IF($A76="","",IF(ISNUMBER($R76),$R76,$Q76))</f>
        <v/>
      </c>
      <c r="W76">
        <f>IF($A76="","",SUMIFS(CLEAN!$AD$6:$AD$1005,CLEAN!$P$6:$P$1005,$A76)+SUMIFS(CLEAN!$AE$6:$AE$1005,CLEAN!$N$6:$N$1005,$A76))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MAP'!$C77)</f>
        <v/>
      </c>
      <c r="D77">
        <f>IF('TEAM MAP'!$A77="","",'TEAM MAP'!$E77)</f>
        <v/>
      </c>
      <c r="E77">
        <f>IF($A77="","",IF(ISNA(MATCH($A77,PRESEASON!$A$6:$A$143,0)),"",IF(INDEX(PRESEASON!$Z$6:$Z$143,MATCH($A77,PRESEASON!$A$6:$A$143,0))="","",INDEX(PRESEASON!$Z$6:$Z$143,MATCH($A77,PRESEASON!$A$6:$A$143,0)))))</f>
        <v/>
      </c>
      <c r="F77">
        <f>IF($A77="","",SUMIFS(CLEAN!$AB$6:$AB$1005,CLEAN!$P$6:$P$1005,$A77)+SUMIFS(CLEAN!$AC$6:$AC$1005,CLEAN!$N$6:$N$1005,$A77))</f>
        <v/>
      </c>
      <c r="G77">
        <f>IF(OR($A77="",$F77=""),"",IF(MIN($F77,9)&gt;=9,SETTINGS!$C$46,INDEX(SETTINGS!$C$37:$C$46,INT(MIN($F77,9))+1)+(MIN($F77,9)-INT(MIN($F77,9)))*(INDEX(SETTINGS!$C$37:$C$46,INT(MIN($F77,9))+2)-INDEX(SETTINGS!$C$37:$C$46,INT(MIN($F77,9))+1))))</f>
        <v/>
      </c>
      <c r="H77">
        <f>IF($A77="","",IF(ISNA(MATCH($A77,CALC!$A$6:$A$143,0)),"",IF(INDEX(CALC!$H$6:$H$143,MATCH($A77,CALC!$A$6:$A$143,0))="","",INDEX(CALC!$H$6:$H$143,MATCH($A77,CALC!$A$6:$A$143,0)))))</f>
        <v/>
      </c>
      <c r="I77">
        <f>IF($E77="","",IF(OR($H77="",$F77=0,$F77=""),$E77,$G77*$E77+(1-$G77)*$H77))</f>
        <v/>
      </c>
      <c r="J77">
        <f>IF(OR($A77="",SETTINGS!$B$4="",SETTINGS!$B$4&lt;=1),"",IF(COUNTIFS(HISTORY!$A$6:$A$3005,SETTINGS!$B$4-1,HISTORY!$B$6:$B$3005,$A77)=1,SUMIFS(HISTORY!$C$6:$C$3005,HISTORY!$A$6:$A$3005,SETTINGS!$B$4-1,HISTORY!$B$6:$B$3005,$A77),""))</f>
        <v/>
      </c>
      <c r="K77">
        <f>IF($I77="","",IF(ISNUMBER($J77),$J77+MAX(-SETTINGS!$B$12,MIN(SETTINGS!$B$12,$I77-$J77)),$I77))</f>
        <v/>
      </c>
      <c r="O77">
        <f>IF($A77="","",IF(ISNUMBER($L77),$L77,IF($K77="","",$K77)))</f>
        <v/>
      </c>
      <c r="P77">
        <f>IF($A77="","",IF(ISNUMBER($L77),"OVERRIDE","MODEL"))</f>
        <v/>
      </c>
      <c r="Q77">
        <f>IF($A77="","",SETTINGS!$B$6)</f>
        <v/>
      </c>
      <c r="S77">
        <f>IF($A77="","",IF(ISNUMBER($R77),$R77,$Q77))</f>
        <v/>
      </c>
      <c r="W77">
        <f>IF($A77="","",SUMIFS(CLEAN!$AD$6:$AD$1005,CLEAN!$P$6:$P$1005,$A77)+SUMIFS(CLEAN!$AE$6:$AE$1005,CLEAN!$N$6:$N$1005,$A77))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MAP'!$C78)</f>
        <v/>
      </c>
      <c r="D78">
        <f>IF('TEAM MAP'!$A78="","",'TEAM MAP'!$E78)</f>
        <v/>
      </c>
      <c r="E78">
        <f>IF($A78="","",IF(ISNA(MATCH($A78,PRESEASON!$A$6:$A$143,0)),"",IF(INDEX(PRESEASON!$Z$6:$Z$143,MATCH($A78,PRESEASON!$A$6:$A$143,0))="","",INDEX(PRESEASON!$Z$6:$Z$143,MATCH($A78,PRESEASON!$A$6:$A$143,0)))))</f>
        <v/>
      </c>
      <c r="F78">
        <f>IF($A78="","",SUMIFS(CLEAN!$AB$6:$AB$1005,CLEAN!$P$6:$P$1005,$A78)+SUMIFS(CLEAN!$AC$6:$AC$1005,CLEAN!$N$6:$N$1005,$A78))</f>
        <v/>
      </c>
      <c r="G78">
        <f>IF(OR($A78="",$F78=""),"",IF(MIN($F78,9)&gt;=9,SETTINGS!$C$46,INDEX(SETTINGS!$C$37:$C$46,INT(MIN($F78,9))+1)+(MIN($F78,9)-INT(MIN($F78,9)))*(INDEX(SETTINGS!$C$37:$C$46,INT(MIN($F78,9))+2)-INDEX(SETTINGS!$C$37:$C$46,INT(MIN($F78,9))+1))))</f>
        <v/>
      </c>
      <c r="H78">
        <f>IF($A78="","",IF(ISNA(MATCH($A78,CALC!$A$6:$A$143,0)),"",IF(INDEX(CALC!$H$6:$H$143,MATCH($A78,CALC!$A$6:$A$143,0))="","",INDEX(CALC!$H$6:$H$143,MATCH($A78,CALC!$A$6:$A$143,0)))))</f>
        <v/>
      </c>
      <c r="I78">
        <f>IF($E78="","",IF(OR($H78="",$F78=0,$F78=""),$E78,$G78*$E78+(1-$G78)*$H78))</f>
        <v/>
      </c>
      <c r="J78">
        <f>IF(OR($A78="",SETTINGS!$B$4="",SETTINGS!$B$4&lt;=1),"",IF(COUNTIFS(HISTORY!$A$6:$A$3005,SETTINGS!$B$4-1,HISTORY!$B$6:$B$3005,$A78)=1,SUMIFS(HISTORY!$C$6:$C$3005,HISTORY!$A$6:$A$3005,SETTINGS!$B$4-1,HISTORY!$B$6:$B$3005,$A78),""))</f>
        <v/>
      </c>
      <c r="K78">
        <f>IF($I78="","",IF(ISNUMBER($J78),$J78+MAX(-SETTINGS!$B$12,MIN(SETTINGS!$B$12,$I78-$J78)),$I78))</f>
        <v/>
      </c>
      <c r="O78">
        <f>IF($A78="","",IF(ISNUMBER($L78),$L78,IF($K78="","",$K78)))</f>
        <v/>
      </c>
      <c r="P78">
        <f>IF($A78="","",IF(ISNUMBER($L78),"OVERRIDE","MODEL"))</f>
        <v/>
      </c>
      <c r="Q78">
        <f>IF($A78="","",SETTINGS!$B$6)</f>
        <v/>
      </c>
      <c r="S78">
        <f>IF($A78="","",IF(ISNUMBER($R78),$R78,$Q78))</f>
        <v/>
      </c>
      <c r="W78">
        <f>IF($A78="","",SUMIFS(CLEAN!$AD$6:$AD$1005,CLEAN!$P$6:$P$1005,$A78)+SUMIFS(CLEAN!$AE$6:$AE$1005,CLEAN!$N$6:$N$1005,$A78))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MAP'!$C79)</f>
        <v/>
      </c>
      <c r="D79">
        <f>IF('TEAM MAP'!$A79="","",'TEAM MAP'!$E79)</f>
        <v/>
      </c>
      <c r="E79">
        <f>IF($A79="","",IF(ISNA(MATCH($A79,PRESEASON!$A$6:$A$143,0)),"",IF(INDEX(PRESEASON!$Z$6:$Z$143,MATCH($A79,PRESEASON!$A$6:$A$143,0))="","",INDEX(PRESEASON!$Z$6:$Z$143,MATCH($A79,PRESEASON!$A$6:$A$143,0)))))</f>
        <v/>
      </c>
      <c r="F79">
        <f>IF($A79="","",SUMIFS(CLEAN!$AB$6:$AB$1005,CLEAN!$P$6:$P$1005,$A79)+SUMIFS(CLEAN!$AC$6:$AC$1005,CLEAN!$N$6:$N$1005,$A79))</f>
        <v/>
      </c>
      <c r="G79">
        <f>IF(OR($A79="",$F79=""),"",IF(MIN($F79,9)&gt;=9,SETTINGS!$C$46,INDEX(SETTINGS!$C$37:$C$46,INT(MIN($F79,9))+1)+(MIN($F79,9)-INT(MIN($F79,9)))*(INDEX(SETTINGS!$C$37:$C$46,INT(MIN($F79,9))+2)-INDEX(SETTINGS!$C$37:$C$46,INT(MIN($F79,9))+1))))</f>
        <v/>
      </c>
      <c r="H79">
        <f>IF($A79="","",IF(ISNA(MATCH($A79,CALC!$A$6:$A$143,0)),"",IF(INDEX(CALC!$H$6:$H$143,MATCH($A79,CALC!$A$6:$A$143,0))="","",INDEX(CALC!$H$6:$H$143,MATCH($A79,CALC!$A$6:$A$143,0)))))</f>
        <v/>
      </c>
      <c r="I79">
        <f>IF($E79="","",IF(OR($H79="",$F79=0,$F79=""),$E79,$G79*$E79+(1-$G79)*$H79))</f>
        <v/>
      </c>
      <c r="J79">
        <f>IF(OR($A79="",SETTINGS!$B$4="",SETTINGS!$B$4&lt;=1),"",IF(COUNTIFS(HISTORY!$A$6:$A$3005,SETTINGS!$B$4-1,HISTORY!$B$6:$B$3005,$A79)=1,SUMIFS(HISTORY!$C$6:$C$3005,HISTORY!$A$6:$A$3005,SETTINGS!$B$4-1,HISTORY!$B$6:$B$3005,$A79),""))</f>
        <v/>
      </c>
      <c r="K79">
        <f>IF($I79="","",IF(ISNUMBER($J79),$J79+MAX(-SETTINGS!$B$12,MIN(SETTINGS!$B$12,$I79-$J79)),$I79))</f>
        <v/>
      </c>
      <c r="O79">
        <f>IF($A79="","",IF(ISNUMBER($L79),$L79,IF($K79="","",$K79)))</f>
        <v/>
      </c>
      <c r="P79">
        <f>IF($A79="","",IF(ISNUMBER($L79),"OVERRIDE","MODEL"))</f>
        <v/>
      </c>
      <c r="Q79">
        <f>IF($A79="","",SETTINGS!$B$6)</f>
        <v/>
      </c>
      <c r="S79">
        <f>IF($A79="","",IF(ISNUMBER($R79),$R79,$Q79))</f>
        <v/>
      </c>
      <c r="W79">
        <f>IF($A79="","",SUMIFS(CLEAN!$AD$6:$AD$1005,CLEAN!$P$6:$P$1005,$A79)+SUMIFS(CLEAN!$AE$6:$AE$1005,CLEAN!$N$6:$N$1005,$A79))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MAP'!$C80)</f>
        <v/>
      </c>
      <c r="D80">
        <f>IF('TEAM MAP'!$A80="","",'TEAM MAP'!$E80)</f>
        <v/>
      </c>
      <c r="E80">
        <f>IF($A80="","",IF(ISNA(MATCH($A80,PRESEASON!$A$6:$A$143,0)),"",IF(INDEX(PRESEASON!$Z$6:$Z$143,MATCH($A80,PRESEASON!$A$6:$A$143,0))="","",INDEX(PRESEASON!$Z$6:$Z$143,MATCH($A80,PRESEASON!$A$6:$A$143,0)))))</f>
        <v/>
      </c>
      <c r="F80">
        <f>IF($A80="","",SUMIFS(CLEAN!$AB$6:$AB$1005,CLEAN!$P$6:$P$1005,$A80)+SUMIFS(CLEAN!$AC$6:$AC$1005,CLEAN!$N$6:$N$1005,$A80))</f>
        <v/>
      </c>
      <c r="G80">
        <f>IF(OR($A80="",$F80=""),"",IF(MIN($F80,9)&gt;=9,SETTINGS!$C$46,INDEX(SETTINGS!$C$37:$C$46,INT(MIN($F80,9))+1)+(MIN($F80,9)-INT(MIN($F80,9)))*(INDEX(SETTINGS!$C$37:$C$46,INT(MIN($F80,9))+2)-INDEX(SETTINGS!$C$37:$C$46,INT(MIN($F80,9))+1))))</f>
        <v/>
      </c>
      <c r="H80">
        <f>IF($A80="","",IF(ISNA(MATCH($A80,CALC!$A$6:$A$143,0)),"",IF(INDEX(CALC!$H$6:$H$143,MATCH($A80,CALC!$A$6:$A$143,0))="","",INDEX(CALC!$H$6:$H$143,MATCH($A80,CALC!$A$6:$A$143,0)))))</f>
        <v/>
      </c>
      <c r="I80">
        <f>IF($E80="","",IF(OR($H80="",$F80=0,$F80=""),$E80,$G80*$E80+(1-$G80)*$H80))</f>
        <v/>
      </c>
      <c r="J80">
        <f>IF(OR($A80="",SETTINGS!$B$4="",SETTINGS!$B$4&lt;=1),"",IF(COUNTIFS(HISTORY!$A$6:$A$3005,SETTINGS!$B$4-1,HISTORY!$B$6:$B$3005,$A80)=1,SUMIFS(HISTORY!$C$6:$C$3005,HISTORY!$A$6:$A$3005,SETTINGS!$B$4-1,HISTORY!$B$6:$B$3005,$A80),""))</f>
        <v/>
      </c>
      <c r="K80">
        <f>IF($I80="","",IF(ISNUMBER($J80),$J80+MAX(-SETTINGS!$B$12,MIN(SETTINGS!$B$12,$I80-$J80)),$I80))</f>
        <v/>
      </c>
      <c r="O80">
        <f>IF($A80="","",IF(ISNUMBER($L80),$L80,IF($K80="","",$K80)))</f>
        <v/>
      </c>
      <c r="P80">
        <f>IF($A80="","",IF(ISNUMBER($L80),"OVERRIDE","MODEL"))</f>
        <v/>
      </c>
      <c r="Q80">
        <f>IF($A80="","",SETTINGS!$B$6)</f>
        <v/>
      </c>
      <c r="S80">
        <f>IF($A80="","",IF(ISNUMBER($R80),$R80,$Q80))</f>
        <v/>
      </c>
      <c r="W80">
        <f>IF($A80="","",SUMIFS(CLEAN!$AD$6:$AD$1005,CLEAN!$P$6:$P$1005,$A80)+SUMIFS(CLEAN!$AE$6:$AE$1005,CLEAN!$N$6:$N$1005,$A80))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MAP'!$C81)</f>
        <v/>
      </c>
      <c r="D81">
        <f>IF('TEAM MAP'!$A81="","",'TEAM MAP'!$E81)</f>
        <v/>
      </c>
      <c r="E81">
        <f>IF($A81="","",IF(ISNA(MATCH($A81,PRESEASON!$A$6:$A$143,0)),"",IF(INDEX(PRESEASON!$Z$6:$Z$143,MATCH($A81,PRESEASON!$A$6:$A$143,0))="","",INDEX(PRESEASON!$Z$6:$Z$143,MATCH($A81,PRESEASON!$A$6:$A$143,0)))))</f>
        <v/>
      </c>
      <c r="F81">
        <f>IF($A81="","",SUMIFS(CLEAN!$AB$6:$AB$1005,CLEAN!$P$6:$P$1005,$A81)+SUMIFS(CLEAN!$AC$6:$AC$1005,CLEAN!$N$6:$N$1005,$A81))</f>
        <v/>
      </c>
      <c r="G81">
        <f>IF(OR($A81="",$F81=""),"",IF(MIN($F81,9)&gt;=9,SETTINGS!$C$46,INDEX(SETTINGS!$C$37:$C$46,INT(MIN($F81,9))+1)+(MIN($F81,9)-INT(MIN($F81,9)))*(INDEX(SETTINGS!$C$37:$C$46,INT(MIN($F81,9))+2)-INDEX(SETTINGS!$C$37:$C$46,INT(MIN($F81,9))+1))))</f>
        <v/>
      </c>
      <c r="H81">
        <f>IF($A81="","",IF(ISNA(MATCH($A81,CALC!$A$6:$A$143,0)),"",IF(INDEX(CALC!$H$6:$H$143,MATCH($A81,CALC!$A$6:$A$143,0))="","",INDEX(CALC!$H$6:$H$143,MATCH($A81,CALC!$A$6:$A$143,0)))))</f>
        <v/>
      </c>
      <c r="I81">
        <f>IF($E81="","",IF(OR($H81="",$F81=0,$F81=""),$E81,$G81*$E81+(1-$G81)*$H81))</f>
        <v/>
      </c>
      <c r="J81">
        <f>IF(OR($A81="",SETTINGS!$B$4="",SETTINGS!$B$4&lt;=1),"",IF(COUNTIFS(HISTORY!$A$6:$A$3005,SETTINGS!$B$4-1,HISTORY!$B$6:$B$3005,$A81)=1,SUMIFS(HISTORY!$C$6:$C$3005,HISTORY!$A$6:$A$3005,SETTINGS!$B$4-1,HISTORY!$B$6:$B$3005,$A81),""))</f>
        <v/>
      </c>
      <c r="K81">
        <f>IF($I81="","",IF(ISNUMBER($J81),$J81+MAX(-SETTINGS!$B$12,MIN(SETTINGS!$B$12,$I81-$J81)),$I81))</f>
        <v/>
      </c>
      <c r="O81">
        <f>IF($A81="","",IF(ISNUMBER($L81),$L81,IF($K81="","",$K81)))</f>
        <v/>
      </c>
      <c r="P81">
        <f>IF($A81="","",IF(ISNUMBER($L81),"OVERRIDE","MODEL"))</f>
        <v/>
      </c>
      <c r="Q81">
        <f>IF($A81="","",SETTINGS!$B$6)</f>
        <v/>
      </c>
      <c r="S81">
        <f>IF($A81="","",IF(ISNUMBER($R81),$R81,$Q81))</f>
        <v/>
      </c>
      <c r="W81">
        <f>IF($A81="","",SUMIFS(CLEAN!$AD$6:$AD$1005,CLEAN!$P$6:$P$1005,$A81)+SUMIFS(CLEAN!$AE$6:$AE$1005,CLEAN!$N$6:$N$1005,$A81))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MAP'!$C82)</f>
        <v/>
      </c>
      <c r="D82">
        <f>IF('TEAM MAP'!$A82="","",'TEAM MAP'!$E82)</f>
        <v/>
      </c>
      <c r="E82">
        <f>IF($A82="","",IF(ISNA(MATCH($A82,PRESEASON!$A$6:$A$143,0)),"",IF(INDEX(PRESEASON!$Z$6:$Z$143,MATCH($A82,PRESEASON!$A$6:$A$143,0))="","",INDEX(PRESEASON!$Z$6:$Z$143,MATCH($A82,PRESEASON!$A$6:$A$143,0)))))</f>
        <v/>
      </c>
      <c r="F82">
        <f>IF($A82="","",SUMIFS(CLEAN!$AB$6:$AB$1005,CLEAN!$P$6:$P$1005,$A82)+SUMIFS(CLEAN!$AC$6:$AC$1005,CLEAN!$N$6:$N$1005,$A82))</f>
        <v/>
      </c>
      <c r="G82">
        <f>IF(OR($A82="",$F82=""),"",IF(MIN($F82,9)&gt;=9,SETTINGS!$C$46,INDEX(SETTINGS!$C$37:$C$46,INT(MIN($F82,9))+1)+(MIN($F82,9)-INT(MIN($F82,9)))*(INDEX(SETTINGS!$C$37:$C$46,INT(MIN($F82,9))+2)-INDEX(SETTINGS!$C$37:$C$46,INT(MIN($F82,9))+1))))</f>
        <v/>
      </c>
      <c r="H82">
        <f>IF($A82="","",IF(ISNA(MATCH($A82,CALC!$A$6:$A$143,0)),"",IF(INDEX(CALC!$H$6:$H$143,MATCH($A82,CALC!$A$6:$A$143,0))="","",INDEX(CALC!$H$6:$H$143,MATCH($A82,CALC!$A$6:$A$143,0)))))</f>
        <v/>
      </c>
      <c r="I82">
        <f>IF($E82="","",IF(OR($H82="",$F82=0,$F82=""),$E82,$G82*$E82+(1-$G82)*$H82))</f>
        <v/>
      </c>
      <c r="J82">
        <f>IF(OR($A82="",SETTINGS!$B$4="",SETTINGS!$B$4&lt;=1),"",IF(COUNTIFS(HISTORY!$A$6:$A$3005,SETTINGS!$B$4-1,HISTORY!$B$6:$B$3005,$A82)=1,SUMIFS(HISTORY!$C$6:$C$3005,HISTORY!$A$6:$A$3005,SETTINGS!$B$4-1,HISTORY!$B$6:$B$3005,$A82),""))</f>
        <v/>
      </c>
      <c r="K82">
        <f>IF($I82="","",IF(ISNUMBER($J82),$J82+MAX(-SETTINGS!$B$12,MIN(SETTINGS!$B$12,$I82-$J82)),$I82))</f>
        <v/>
      </c>
      <c r="O82">
        <f>IF($A82="","",IF(ISNUMBER($L82),$L82,IF($K82="","",$K82)))</f>
        <v/>
      </c>
      <c r="P82">
        <f>IF($A82="","",IF(ISNUMBER($L82),"OVERRIDE","MODEL"))</f>
        <v/>
      </c>
      <c r="Q82">
        <f>IF($A82="","",SETTINGS!$B$6)</f>
        <v/>
      </c>
      <c r="S82">
        <f>IF($A82="","",IF(ISNUMBER($R82),$R82,$Q82))</f>
        <v/>
      </c>
      <c r="W82">
        <f>IF($A82="","",SUMIFS(CLEAN!$AD$6:$AD$1005,CLEAN!$P$6:$P$1005,$A82)+SUMIFS(CLEAN!$AE$6:$AE$1005,CLEAN!$N$6:$N$1005,$A82))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MAP'!$C83)</f>
        <v/>
      </c>
      <c r="D83">
        <f>IF('TEAM MAP'!$A83="","",'TEAM MAP'!$E83)</f>
        <v/>
      </c>
      <c r="E83">
        <f>IF($A83="","",IF(ISNA(MATCH($A83,PRESEASON!$A$6:$A$143,0)),"",IF(INDEX(PRESEASON!$Z$6:$Z$143,MATCH($A83,PRESEASON!$A$6:$A$143,0))="","",INDEX(PRESEASON!$Z$6:$Z$143,MATCH($A83,PRESEASON!$A$6:$A$143,0)))))</f>
        <v/>
      </c>
      <c r="F83">
        <f>IF($A83="","",SUMIFS(CLEAN!$AB$6:$AB$1005,CLEAN!$P$6:$P$1005,$A83)+SUMIFS(CLEAN!$AC$6:$AC$1005,CLEAN!$N$6:$N$1005,$A83))</f>
        <v/>
      </c>
      <c r="G83">
        <f>IF(OR($A83="",$F83=""),"",IF(MIN($F83,9)&gt;=9,SETTINGS!$C$46,INDEX(SETTINGS!$C$37:$C$46,INT(MIN($F83,9))+1)+(MIN($F83,9)-INT(MIN($F83,9)))*(INDEX(SETTINGS!$C$37:$C$46,INT(MIN($F83,9))+2)-INDEX(SETTINGS!$C$37:$C$46,INT(MIN($F83,9))+1))))</f>
        <v/>
      </c>
      <c r="H83">
        <f>IF($A83="","",IF(ISNA(MATCH($A83,CALC!$A$6:$A$143,0)),"",IF(INDEX(CALC!$H$6:$H$143,MATCH($A83,CALC!$A$6:$A$143,0))="","",INDEX(CALC!$H$6:$H$143,MATCH($A83,CALC!$A$6:$A$143,0)))))</f>
        <v/>
      </c>
      <c r="I83">
        <f>IF($E83="","",IF(OR($H83="",$F83=0,$F83=""),$E83,$G83*$E83+(1-$G83)*$H83))</f>
        <v/>
      </c>
      <c r="J83">
        <f>IF(OR($A83="",SETTINGS!$B$4="",SETTINGS!$B$4&lt;=1),"",IF(COUNTIFS(HISTORY!$A$6:$A$3005,SETTINGS!$B$4-1,HISTORY!$B$6:$B$3005,$A83)=1,SUMIFS(HISTORY!$C$6:$C$3005,HISTORY!$A$6:$A$3005,SETTINGS!$B$4-1,HISTORY!$B$6:$B$3005,$A83),""))</f>
        <v/>
      </c>
      <c r="K83">
        <f>IF($I83="","",IF(ISNUMBER($J83),$J83+MAX(-SETTINGS!$B$12,MIN(SETTINGS!$B$12,$I83-$J83)),$I83))</f>
        <v/>
      </c>
      <c r="O83">
        <f>IF($A83="","",IF(ISNUMBER($L83),$L83,IF($K83="","",$K83)))</f>
        <v/>
      </c>
      <c r="P83">
        <f>IF($A83="","",IF(ISNUMBER($L83),"OVERRIDE","MODEL"))</f>
        <v/>
      </c>
      <c r="Q83">
        <f>IF($A83="","",SETTINGS!$B$6)</f>
        <v/>
      </c>
      <c r="S83">
        <f>IF($A83="","",IF(ISNUMBER($R83),$R83,$Q83))</f>
        <v/>
      </c>
      <c r="W83">
        <f>IF($A83="","",SUMIFS(CLEAN!$AD$6:$AD$1005,CLEAN!$P$6:$P$1005,$A83)+SUMIFS(CLEAN!$AE$6:$AE$1005,CLEAN!$N$6:$N$1005,$A83))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MAP'!$C84)</f>
        <v/>
      </c>
      <c r="D84">
        <f>IF('TEAM MAP'!$A84="","",'TEAM MAP'!$E84)</f>
        <v/>
      </c>
      <c r="E84">
        <f>IF($A84="","",IF(ISNA(MATCH($A84,PRESEASON!$A$6:$A$143,0)),"",IF(INDEX(PRESEASON!$Z$6:$Z$143,MATCH($A84,PRESEASON!$A$6:$A$143,0))="","",INDEX(PRESEASON!$Z$6:$Z$143,MATCH($A84,PRESEASON!$A$6:$A$143,0)))))</f>
        <v/>
      </c>
      <c r="F84">
        <f>IF($A84="","",SUMIFS(CLEAN!$AB$6:$AB$1005,CLEAN!$P$6:$P$1005,$A84)+SUMIFS(CLEAN!$AC$6:$AC$1005,CLEAN!$N$6:$N$1005,$A84))</f>
        <v/>
      </c>
      <c r="G84">
        <f>IF(OR($A84="",$F84=""),"",IF(MIN($F84,9)&gt;=9,SETTINGS!$C$46,INDEX(SETTINGS!$C$37:$C$46,INT(MIN($F84,9))+1)+(MIN($F84,9)-INT(MIN($F84,9)))*(INDEX(SETTINGS!$C$37:$C$46,INT(MIN($F84,9))+2)-INDEX(SETTINGS!$C$37:$C$46,INT(MIN($F84,9))+1))))</f>
        <v/>
      </c>
      <c r="H84">
        <f>IF($A84="","",IF(ISNA(MATCH($A84,CALC!$A$6:$A$143,0)),"",IF(INDEX(CALC!$H$6:$H$143,MATCH($A84,CALC!$A$6:$A$143,0))="","",INDEX(CALC!$H$6:$H$143,MATCH($A84,CALC!$A$6:$A$143,0)))))</f>
        <v/>
      </c>
      <c r="I84">
        <f>IF($E84="","",IF(OR($H84="",$F84=0,$F84=""),$E84,$G84*$E84+(1-$G84)*$H84))</f>
        <v/>
      </c>
      <c r="J84">
        <f>IF(OR($A84="",SETTINGS!$B$4="",SETTINGS!$B$4&lt;=1),"",IF(COUNTIFS(HISTORY!$A$6:$A$3005,SETTINGS!$B$4-1,HISTORY!$B$6:$B$3005,$A84)=1,SUMIFS(HISTORY!$C$6:$C$3005,HISTORY!$A$6:$A$3005,SETTINGS!$B$4-1,HISTORY!$B$6:$B$3005,$A84),""))</f>
        <v/>
      </c>
      <c r="K84">
        <f>IF($I84="","",IF(ISNUMBER($J84),$J84+MAX(-SETTINGS!$B$12,MIN(SETTINGS!$B$12,$I84-$J84)),$I84))</f>
        <v/>
      </c>
      <c r="O84">
        <f>IF($A84="","",IF(ISNUMBER($L84),$L84,IF($K84="","",$K84)))</f>
        <v/>
      </c>
      <c r="P84">
        <f>IF($A84="","",IF(ISNUMBER($L84),"OVERRIDE","MODEL"))</f>
        <v/>
      </c>
      <c r="Q84">
        <f>IF($A84="","",SETTINGS!$B$6)</f>
        <v/>
      </c>
      <c r="S84">
        <f>IF($A84="","",IF(ISNUMBER($R84),$R84,$Q84))</f>
        <v/>
      </c>
      <c r="W84">
        <f>IF($A84="","",SUMIFS(CLEAN!$AD$6:$AD$1005,CLEAN!$P$6:$P$1005,$A84)+SUMIFS(CLEAN!$AE$6:$AE$1005,CLEAN!$N$6:$N$1005,$A84))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MAP'!$C85)</f>
        <v/>
      </c>
      <c r="D85">
        <f>IF('TEAM MAP'!$A85="","",'TEAM MAP'!$E85)</f>
        <v/>
      </c>
      <c r="E85">
        <f>IF($A85="","",IF(ISNA(MATCH($A85,PRESEASON!$A$6:$A$143,0)),"",IF(INDEX(PRESEASON!$Z$6:$Z$143,MATCH($A85,PRESEASON!$A$6:$A$143,0))="","",INDEX(PRESEASON!$Z$6:$Z$143,MATCH($A85,PRESEASON!$A$6:$A$143,0)))))</f>
        <v/>
      </c>
      <c r="F85">
        <f>IF($A85="","",SUMIFS(CLEAN!$AB$6:$AB$1005,CLEAN!$P$6:$P$1005,$A85)+SUMIFS(CLEAN!$AC$6:$AC$1005,CLEAN!$N$6:$N$1005,$A85))</f>
        <v/>
      </c>
      <c r="G85">
        <f>IF(OR($A85="",$F85=""),"",IF(MIN($F85,9)&gt;=9,SETTINGS!$C$46,INDEX(SETTINGS!$C$37:$C$46,INT(MIN($F85,9))+1)+(MIN($F85,9)-INT(MIN($F85,9)))*(INDEX(SETTINGS!$C$37:$C$46,INT(MIN($F85,9))+2)-INDEX(SETTINGS!$C$37:$C$46,INT(MIN($F85,9))+1))))</f>
        <v/>
      </c>
      <c r="H85">
        <f>IF($A85="","",IF(ISNA(MATCH($A85,CALC!$A$6:$A$143,0)),"",IF(INDEX(CALC!$H$6:$H$143,MATCH($A85,CALC!$A$6:$A$143,0))="","",INDEX(CALC!$H$6:$H$143,MATCH($A85,CALC!$A$6:$A$143,0)))))</f>
        <v/>
      </c>
      <c r="I85">
        <f>IF($E85="","",IF(OR($H85="",$F85=0,$F85=""),$E85,$G85*$E85+(1-$G85)*$H85))</f>
        <v/>
      </c>
      <c r="J85">
        <f>IF(OR($A85="",SETTINGS!$B$4="",SETTINGS!$B$4&lt;=1),"",IF(COUNTIFS(HISTORY!$A$6:$A$3005,SETTINGS!$B$4-1,HISTORY!$B$6:$B$3005,$A85)=1,SUMIFS(HISTORY!$C$6:$C$3005,HISTORY!$A$6:$A$3005,SETTINGS!$B$4-1,HISTORY!$B$6:$B$3005,$A85),""))</f>
        <v/>
      </c>
      <c r="K85">
        <f>IF($I85="","",IF(ISNUMBER($J85),$J85+MAX(-SETTINGS!$B$12,MIN(SETTINGS!$B$12,$I85-$J85)),$I85))</f>
        <v/>
      </c>
      <c r="O85">
        <f>IF($A85="","",IF(ISNUMBER($L85),$L85,IF($K85="","",$K85)))</f>
        <v/>
      </c>
      <c r="P85">
        <f>IF($A85="","",IF(ISNUMBER($L85),"OVERRIDE","MODEL"))</f>
        <v/>
      </c>
      <c r="Q85">
        <f>IF($A85="","",SETTINGS!$B$6)</f>
        <v/>
      </c>
      <c r="S85">
        <f>IF($A85="","",IF(ISNUMBER($R85),$R85,$Q85))</f>
        <v/>
      </c>
      <c r="W85">
        <f>IF($A85="","",SUMIFS(CLEAN!$AD$6:$AD$1005,CLEAN!$P$6:$P$1005,$A85)+SUMIFS(CLEAN!$AE$6:$AE$1005,CLEAN!$N$6:$N$1005,$A85))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MAP'!$C86)</f>
        <v/>
      </c>
      <c r="D86">
        <f>IF('TEAM MAP'!$A86="","",'TEAM MAP'!$E86)</f>
        <v/>
      </c>
      <c r="E86">
        <f>IF($A86="","",IF(ISNA(MATCH($A86,PRESEASON!$A$6:$A$143,0)),"",IF(INDEX(PRESEASON!$Z$6:$Z$143,MATCH($A86,PRESEASON!$A$6:$A$143,0))="","",INDEX(PRESEASON!$Z$6:$Z$143,MATCH($A86,PRESEASON!$A$6:$A$143,0)))))</f>
        <v/>
      </c>
      <c r="F86">
        <f>IF($A86="","",SUMIFS(CLEAN!$AB$6:$AB$1005,CLEAN!$P$6:$P$1005,$A86)+SUMIFS(CLEAN!$AC$6:$AC$1005,CLEAN!$N$6:$N$1005,$A86))</f>
        <v/>
      </c>
      <c r="G86">
        <f>IF(OR($A86="",$F86=""),"",IF(MIN($F86,9)&gt;=9,SETTINGS!$C$46,INDEX(SETTINGS!$C$37:$C$46,INT(MIN($F86,9))+1)+(MIN($F86,9)-INT(MIN($F86,9)))*(INDEX(SETTINGS!$C$37:$C$46,INT(MIN($F86,9))+2)-INDEX(SETTINGS!$C$37:$C$46,INT(MIN($F86,9))+1))))</f>
        <v/>
      </c>
      <c r="H86">
        <f>IF($A86="","",IF(ISNA(MATCH($A86,CALC!$A$6:$A$143,0)),"",IF(INDEX(CALC!$H$6:$H$143,MATCH($A86,CALC!$A$6:$A$143,0))="","",INDEX(CALC!$H$6:$H$143,MATCH($A86,CALC!$A$6:$A$143,0)))))</f>
        <v/>
      </c>
      <c r="I86">
        <f>IF($E86="","",IF(OR($H86="",$F86=0,$F86=""),$E86,$G86*$E86+(1-$G86)*$H86))</f>
        <v/>
      </c>
      <c r="J86">
        <f>IF(OR($A86="",SETTINGS!$B$4="",SETTINGS!$B$4&lt;=1),"",IF(COUNTIFS(HISTORY!$A$6:$A$3005,SETTINGS!$B$4-1,HISTORY!$B$6:$B$3005,$A86)=1,SUMIFS(HISTORY!$C$6:$C$3005,HISTORY!$A$6:$A$3005,SETTINGS!$B$4-1,HISTORY!$B$6:$B$3005,$A86),""))</f>
        <v/>
      </c>
      <c r="K86">
        <f>IF($I86="","",IF(ISNUMBER($J86),$J86+MAX(-SETTINGS!$B$12,MIN(SETTINGS!$B$12,$I86-$J86)),$I86))</f>
        <v/>
      </c>
      <c r="O86">
        <f>IF($A86="","",IF(ISNUMBER($L86),$L86,IF($K86="","",$K86)))</f>
        <v/>
      </c>
      <c r="P86">
        <f>IF($A86="","",IF(ISNUMBER($L86),"OVERRIDE","MODEL"))</f>
        <v/>
      </c>
      <c r="Q86">
        <f>IF($A86="","",SETTINGS!$B$6)</f>
        <v/>
      </c>
      <c r="S86">
        <f>IF($A86="","",IF(ISNUMBER($R86),$R86,$Q86))</f>
        <v/>
      </c>
      <c r="W86">
        <f>IF($A86="","",SUMIFS(CLEAN!$AD$6:$AD$1005,CLEAN!$P$6:$P$1005,$A86)+SUMIFS(CLEAN!$AE$6:$AE$1005,CLEAN!$N$6:$N$1005,$A86))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MAP'!$C87)</f>
        <v/>
      </c>
      <c r="D87">
        <f>IF('TEAM MAP'!$A87="","",'TEAM MAP'!$E87)</f>
        <v/>
      </c>
      <c r="E87">
        <f>IF($A87="","",IF(ISNA(MATCH($A87,PRESEASON!$A$6:$A$143,0)),"",IF(INDEX(PRESEASON!$Z$6:$Z$143,MATCH($A87,PRESEASON!$A$6:$A$143,0))="","",INDEX(PRESEASON!$Z$6:$Z$143,MATCH($A87,PRESEASON!$A$6:$A$143,0)))))</f>
        <v/>
      </c>
      <c r="F87">
        <f>IF($A87="","",SUMIFS(CLEAN!$AB$6:$AB$1005,CLEAN!$P$6:$P$1005,$A87)+SUMIFS(CLEAN!$AC$6:$AC$1005,CLEAN!$N$6:$N$1005,$A87))</f>
        <v/>
      </c>
      <c r="G87">
        <f>IF(OR($A87="",$F87=""),"",IF(MIN($F87,9)&gt;=9,SETTINGS!$C$46,INDEX(SETTINGS!$C$37:$C$46,INT(MIN($F87,9))+1)+(MIN($F87,9)-INT(MIN($F87,9)))*(INDEX(SETTINGS!$C$37:$C$46,INT(MIN($F87,9))+2)-INDEX(SETTINGS!$C$37:$C$46,INT(MIN($F87,9))+1))))</f>
        <v/>
      </c>
      <c r="H87">
        <f>IF($A87="","",IF(ISNA(MATCH($A87,CALC!$A$6:$A$143,0)),"",IF(INDEX(CALC!$H$6:$H$143,MATCH($A87,CALC!$A$6:$A$143,0))="","",INDEX(CALC!$H$6:$H$143,MATCH($A87,CALC!$A$6:$A$143,0)))))</f>
        <v/>
      </c>
      <c r="I87">
        <f>IF($E87="","",IF(OR($H87="",$F87=0,$F87=""),$E87,$G87*$E87+(1-$G87)*$H87))</f>
        <v/>
      </c>
      <c r="J87">
        <f>IF(OR($A87="",SETTINGS!$B$4="",SETTINGS!$B$4&lt;=1),"",IF(COUNTIFS(HISTORY!$A$6:$A$3005,SETTINGS!$B$4-1,HISTORY!$B$6:$B$3005,$A87)=1,SUMIFS(HISTORY!$C$6:$C$3005,HISTORY!$A$6:$A$3005,SETTINGS!$B$4-1,HISTORY!$B$6:$B$3005,$A87),""))</f>
        <v/>
      </c>
      <c r="K87">
        <f>IF($I87="","",IF(ISNUMBER($J87),$J87+MAX(-SETTINGS!$B$12,MIN(SETTINGS!$B$12,$I87-$J87)),$I87))</f>
        <v/>
      </c>
      <c r="O87">
        <f>IF($A87="","",IF(ISNUMBER($L87),$L87,IF($K87="","",$K87)))</f>
        <v/>
      </c>
      <c r="P87">
        <f>IF($A87="","",IF(ISNUMBER($L87),"OVERRIDE","MODEL"))</f>
        <v/>
      </c>
      <c r="Q87">
        <f>IF($A87="","",SETTINGS!$B$6)</f>
        <v/>
      </c>
      <c r="S87">
        <f>IF($A87="","",IF(ISNUMBER($R87),$R87,$Q87))</f>
        <v/>
      </c>
      <c r="W87">
        <f>IF($A87="","",SUMIFS(CLEAN!$AD$6:$AD$1005,CLEAN!$P$6:$P$1005,$A87)+SUMIFS(CLEAN!$AE$6:$AE$1005,CLEAN!$N$6:$N$1005,$A87))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MAP'!$C88)</f>
        <v/>
      </c>
      <c r="D88">
        <f>IF('TEAM MAP'!$A88="","",'TEAM MAP'!$E88)</f>
        <v/>
      </c>
      <c r="E88">
        <f>IF($A88="","",IF(ISNA(MATCH($A88,PRESEASON!$A$6:$A$143,0)),"",IF(INDEX(PRESEASON!$Z$6:$Z$143,MATCH($A88,PRESEASON!$A$6:$A$143,0))="","",INDEX(PRESEASON!$Z$6:$Z$143,MATCH($A88,PRESEASON!$A$6:$A$143,0)))))</f>
        <v/>
      </c>
      <c r="F88">
        <f>IF($A88="","",SUMIFS(CLEAN!$AB$6:$AB$1005,CLEAN!$P$6:$P$1005,$A88)+SUMIFS(CLEAN!$AC$6:$AC$1005,CLEAN!$N$6:$N$1005,$A88))</f>
        <v/>
      </c>
      <c r="G88">
        <f>IF(OR($A88="",$F88=""),"",IF(MIN($F88,9)&gt;=9,SETTINGS!$C$46,INDEX(SETTINGS!$C$37:$C$46,INT(MIN($F88,9))+1)+(MIN($F88,9)-INT(MIN($F88,9)))*(INDEX(SETTINGS!$C$37:$C$46,INT(MIN($F88,9))+2)-INDEX(SETTINGS!$C$37:$C$46,INT(MIN($F88,9))+1))))</f>
        <v/>
      </c>
      <c r="H88">
        <f>IF($A88="","",IF(ISNA(MATCH($A88,CALC!$A$6:$A$143,0)),"",IF(INDEX(CALC!$H$6:$H$143,MATCH($A88,CALC!$A$6:$A$143,0))="","",INDEX(CALC!$H$6:$H$143,MATCH($A88,CALC!$A$6:$A$143,0)))))</f>
        <v/>
      </c>
      <c r="I88">
        <f>IF($E88="","",IF(OR($H88="",$F88=0,$F88=""),$E88,$G88*$E88+(1-$G88)*$H88))</f>
        <v/>
      </c>
      <c r="J88">
        <f>IF(OR($A88="",SETTINGS!$B$4="",SETTINGS!$B$4&lt;=1),"",IF(COUNTIFS(HISTORY!$A$6:$A$3005,SETTINGS!$B$4-1,HISTORY!$B$6:$B$3005,$A88)=1,SUMIFS(HISTORY!$C$6:$C$3005,HISTORY!$A$6:$A$3005,SETTINGS!$B$4-1,HISTORY!$B$6:$B$3005,$A88),""))</f>
        <v/>
      </c>
      <c r="K88">
        <f>IF($I88="","",IF(ISNUMBER($J88),$J88+MAX(-SETTINGS!$B$12,MIN(SETTINGS!$B$12,$I88-$J88)),$I88))</f>
        <v/>
      </c>
      <c r="O88">
        <f>IF($A88="","",IF(ISNUMBER($L88),$L88,IF($K88="","",$K88)))</f>
        <v/>
      </c>
      <c r="P88">
        <f>IF($A88="","",IF(ISNUMBER($L88),"OVERRIDE","MODEL"))</f>
        <v/>
      </c>
      <c r="Q88">
        <f>IF($A88="","",SETTINGS!$B$6)</f>
        <v/>
      </c>
      <c r="S88">
        <f>IF($A88="","",IF(ISNUMBER($R88),$R88,$Q88))</f>
        <v/>
      </c>
      <c r="W88">
        <f>IF($A88="","",SUMIFS(CLEAN!$AD$6:$AD$1005,CLEAN!$P$6:$P$1005,$A88)+SUMIFS(CLEAN!$AE$6:$AE$1005,CLEAN!$N$6:$N$1005,$A88))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MAP'!$C89)</f>
        <v/>
      </c>
      <c r="D89">
        <f>IF('TEAM MAP'!$A89="","",'TEAM MAP'!$E89)</f>
        <v/>
      </c>
      <c r="E89">
        <f>IF($A89="","",IF(ISNA(MATCH($A89,PRESEASON!$A$6:$A$143,0)),"",IF(INDEX(PRESEASON!$Z$6:$Z$143,MATCH($A89,PRESEASON!$A$6:$A$143,0))="","",INDEX(PRESEASON!$Z$6:$Z$143,MATCH($A89,PRESEASON!$A$6:$A$143,0)))))</f>
        <v/>
      </c>
      <c r="F89">
        <f>IF($A89="","",SUMIFS(CLEAN!$AB$6:$AB$1005,CLEAN!$P$6:$P$1005,$A89)+SUMIFS(CLEAN!$AC$6:$AC$1005,CLEAN!$N$6:$N$1005,$A89))</f>
        <v/>
      </c>
      <c r="G89">
        <f>IF(OR($A89="",$F89=""),"",IF(MIN($F89,9)&gt;=9,SETTINGS!$C$46,INDEX(SETTINGS!$C$37:$C$46,INT(MIN($F89,9))+1)+(MIN($F89,9)-INT(MIN($F89,9)))*(INDEX(SETTINGS!$C$37:$C$46,INT(MIN($F89,9))+2)-INDEX(SETTINGS!$C$37:$C$46,INT(MIN($F89,9))+1))))</f>
        <v/>
      </c>
      <c r="H89">
        <f>IF($A89="","",IF(ISNA(MATCH($A89,CALC!$A$6:$A$143,0)),"",IF(INDEX(CALC!$H$6:$H$143,MATCH($A89,CALC!$A$6:$A$143,0))="","",INDEX(CALC!$H$6:$H$143,MATCH($A89,CALC!$A$6:$A$143,0)))))</f>
        <v/>
      </c>
      <c r="I89">
        <f>IF($E89="","",IF(OR($H89="",$F89=0,$F89=""),$E89,$G89*$E89+(1-$G89)*$H89))</f>
        <v/>
      </c>
      <c r="J89">
        <f>IF(OR($A89="",SETTINGS!$B$4="",SETTINGS!$B$4&lt;=1),"",IF(COUNTIFS(HISTORY!$A$6:$A$3005,SETTINGS!$B$4-1,HISTORY!$B$6:$B$3005,$A89)=1,SUMIFS(HISTORY!$C$6:$C$3005,HISTORY!$A$6:$A$3005,SETTINGS!$B$4-1,HISTORY!$B$6:$B$3005,$A89),""))</f>
        <v/>
      </c>
      <c r="K89">
        <f>IF($I89="","",IF(ISNUMBER($J89),$J89+MAX(-SETTINGS!$B$12,MIN(SETTINGS!$B$12,$I89-$J89)),$I89))</f>
        <v/>
      </c>
      <c r="O89">
        <f>IF($A89="","",IF(ISNUMBER($L89),$L89,IF($K89="","",$K89)))</f>
        <v/>
      </c>
      <c r="P89">
        <f>IF($A89="","",IF(ISNUMBER($L89),"OVERRIDE","MODEL"))</f>
        <v/>
      </c>
      <c r="Q89">
        <f>IF($A89="","",SETTINGS!$B$6)</f>
        <v/>
      </c>
      <c r="S89">
        <f>IF($A89="","",IF(ISNUMBER($R89),$R89,$Q89))</f>
        <v/>
      </c>
      <c r="W89">
        <f>IF($A89="","",SUMIFS(CLEAN!$AD$6:$AD$1005,CLEAN!$P$6:$P$1005,$A89)+SUMIFS(CLEAN!$AE$6:$AE$1005,CLEAN!$N$6:$N$1005,$A89))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MAP'!$C90)</f>
        <v/>
      </c>
      <c r="D90">
        <f>IF('TEAM MAP'!$A90="","",'TEAM MAP'!$E90)</f>
        <v/>
      </c>
      <c r="E90">
        <f>IF($A90="","",IF(ISNA(MATCH($A90,PRESEASON!$A$6:$A$143,0)),"",IF(INDEX(PRESEASON!$Z$6:$Z$143,MATCH($A90,PRESEASON!$A$6:$A$143,0))="","",INDEX(PRESEASON!$Z$6:$Z$143,MATCH($A90,PRESEASON!$A$6:$A$143,0)))))</f>
        <v/>
      </c>
      <c r="F90">
        <f>IF($A90="","",SUMIFS(CLEAN!$AB$6:$AB$1005,CLEAN!$P$6:$P$1005,$A90)+SUMIFS(CLEAN!$AC$6:$AC$1005,CLEAN!$N$6:$N$1005,$A90))</f>
        <v/>
      </c>
      <c r="G90">
        <f>IF(OR($A90="",$F90=""),"",IF(MIN($F90,9)&gt;=9,SETTINGS!$C$46,INDEX(SETTINGS!$C$37:$C$46,INT(MIN($F90,9))+1)+(MIN($F90,9)-INT(MIN($F90,9)))*(INDEX(SETTINGS!$C$37:$C$46,INT(MIN($F90,9))+2)-INDEX(SETTINGS!$C$37:$C$46,INT(MIN($F90,9))+1))))</f>
        <v/>
      </c>
      <c r="H90">
        <f>IF($A90="","",IF(ISNA(MATCH($A90,CALC!$A$6:$A$143,0)),"",IF(INDEX(CALC!$H$6:$H$143,MATCH($A90,CALC!$A$6:$A$143,0))="","",INDEX(CALC!$H$6:$H$143,MATCH($A90,CALC!$A$6:$A$143,0)))))</f>
        <v/>
      </c>
      <c r="I90">
        <f>IF($E90="","",IF(OR($H90="",$F90=0,$F90=""),$E90,$G90*$E90+(1-$G90)*$H90))</f>
        <v/>
      </c>
      <c r="J90">
        <f>IF(OR($A90="",SETTINGS!$B$4="",SETTINGS!$B$4&lt;=1),"",IF(COUNTIFS(HISTORY!$A$6:$A$3005,SETTINGS!$B$4-1,HISTORY!$B$6:$B$3005,$A90)=1,SUMIFS(HISTORY!$C$6:$C$3005,HISTORY!$A$6:$A$3005,SETTINGS!$B$4-1,HISTORY!$B$6:$B$3005,$A90),""))</f>
        <v/>
      </c>
      <c r="K90">
        <f>IF($I90="","",IF(ISNUMBER($J90),$J90+MAX(-SETTINGS!$B$12,MIN(SETTINGS!$B$12,$I90-$J90)),$I90))</f>
        <v/>
      </c>
      <c r="O90">
        <f>IF($A90="","",IF(ISNUMBER($L90),$L90,IF($K90="","",$K90)))</f>
        <v/>
      </c>
      <c r="P90">
        <f>IF($A90="","",IF(ISNUMBER($L90),"OVERRIDE","MODEL"))</f>
        <v/>
      </c>
      <c r="Q90">
        <f>IF($A90="","",SETTINGS!$B$6)</f>
        <v/>
      </c>
      <c r="S90">
        <f>IF($A90="","",IF(ISNUMBER($R90),$R90,$Q90))</f>
        <v/>
      </c>
      <c r="W90">
        <f>IF($A90="","",SUMIFS(CLEAN!$AD$6:$AD$1005,CLEAN!$P$6:$P$1005,$A90)+SUMIFS(CLEAN!$AE$6:$AE$1005,CLEAN!$N$6:$N$1005,$A90))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MAP'!$C91)</f>
        <v/>
      </c>
      <c r="D91">
        <f>IF('TEAM MAP'!$A91="","",'TEAM MAP'!$E91)</f>
        <v/>
      </c>
      <c r="E91">
        <f>IF($A91="","",IF(ISNA(MATCH($A91,PRESEASON!$A$6:$A$143,0)),"",IF(INDEX(PRESEASON!$Z$6:$Z$143,MATCH($A91,PRESEASON!$A$6:$A$143,0))="","",INDEX(PRESEASON!$Z$6:$Z$143,MATCH($A91,PRESEASON!$A$6:$A$143,0)))))</f>
        <v/>
      </c>
      <c r="F91">
        <f>IF($A91="","",SUMIFS(CLEAN!$AB$6:$AB$1005,CLEAN!$P$6:$P$1005,$A91)+SUMIFS(CLEAN!$AC$6:$AC$1005,CLEAN!$N$6:$N$1005,$A91))</f>
        <v/>
      </c>
      <c r="G91">
        <f>IF(OR($A91="",$F91=""),"",IF(MIN($F91,9)&gt;=9,SETTINGS!$C$46,INDEX(SETTINGS!$C$37:$C$46,INT(MIN($F91,9))+1)+(MIN($F91,9)-INT(MIN($F91,9)))*(INDEX(SETTINGS!$C$37:$C$46,INT(MIN($F91,9))+2)-INDEX(SETTINGS!$C$37:$C$46,INT(MIN($F91,9))+1))))</f>
        <v/>
      </c>
      <c r="H91">
        <f>IF($A91="","",IF(ISNA(MATCH($A91,CALC!$A$6:$A$143,0)),"",IF(INDEX(CALC!$H$6:$H$143,MATCH($A91,CALC!$A$6:$A$143,0))="","",INDEX(CALC!$H$6:$H$143,MATCH($A91,CALC!$A$6:$A$143,0)))))</f>
        <v/>
      </c>
      <c r="I91">
        <f>IF($E91="","",IF(OR($H91="",$F91=0,$F91=""),$E91,$G91*$E91+(1-$G91)*$H91))</f>
        <v/>
      </c>
      <c r="J91">
        <f>IF(OR($A91="",SETTINGS!$B$4="",SETTINGS!$B$4&lt;=1),"",IF(COUNTIFS(HISTORY!$A$6:$A$3005,SETTINGS!$B$4-1,HISTORY!$B$6:$B$3005,$A91)=1,SUMIFS(HISTORY!$C$6:$C$3005,HISTORY!$A$6:$A$3005,SETTINGS!$B$4-1,HISTORY!$B$6:$B$3005,$A91),""))</f>
        <v/>
      </c>
      <c r="K91">
        <f>IF($I91="","",IF(ISNUMBER($J91),$J91+MAX(-SETTINGS!$B$12,MIN(SETTINGS!$B$12,$I91-$J91)),$I91))</f>
        <v/>
      </c>
      <c r="O91">
        <f>IF($A91="","",IF(ISNUMBER($L91),$L91,IF($K91="","",$K91)))</f>
        <v/>
      </c>
      <c r="P91">
        <f>IF($A91="","",IF(ISNUMBER($L91),"OVERRIDE","MODEL"))</f>
        <v/>
      </c>
      <c r="Q91">
        <f>IF($A91="","",SETTINGS!$B$6)</f>
        <v/>
      </c>
      <c r="S91">
        <f>IF($A91="","",IF(ISNUMBER($R91),$R91,$Q91))</f>
        <v/>
      </c>
      <c r="W91">
        <f>IF($A91="","",SUMIFS(CLEAN!$AD$6:$AD$1005,CLEAN!$P$6:$P$1005,$A91)+SUMIFS(CLEAN!$AE$6:$AE$1005,CLEAN!$N$6:$N$1005,$A91))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MAP'!$C92)</f>
        <v/>
      </c>
      <c r="D92">
        <f>IF('TEAM MAP'!$A92="","",'TEAM MAP'!$E92)</f>
        <v/>
      </c>
      <c r="E92">
        <f>IF($A92="","",IF(ISNA(MATCH($A92,PRESEASON!$A$6:$A$143,0)),"",IF(INDEX(PRESEASON!$Z$6:$Z$143,MATCH($A92,PRESEASON!$A$6:$A$143,0))="","",INDEX(PRESEASON!$Z$6:$Z$143,MATCH($A92,PRESEASON!$A$6:$A$143,0)))))</f>
        <v/>
      </c>
      <c r="F92">
        <f>IF($A92="","",SUMIFS(CLEAN!$AB$6:$AB$1005,CLEAN!$P$6:$P$1005,$A92)+SUMIFS(CLEAN!$AC$6:$AC$1005,CLEAN!$N$6:$N$1005,$A92))</f>
        <v/>
      </c>
      <c r="G92">
        <f>IF(OR($A92="",$F92=""),"",IF(MIN($F92,9)&gt;=9,SETTINGS!$C$46,INDEX(SETTINGS!$C$37:$C$46,INT(MIN($F92,9))+1)+(MIN($F92,9)-INT(MIN($F92,9)))*(INDEX(SETTINGS!$C$37:$C$46,INT(MIN($F92,9))+2)-INDEX(SETTINGS!$C$37:$C$46,INT(MIN($F92,9))+1))))</f>
        <v/>
      </c>
      <c r="H92">
        <f>IF($A92="","",IF(ISNA(MATCH($A92,CALC!$A$6:$A$143,0)),"",IF(INDEX(CALC!$H$6:$H$143,MATCH($A92,CALC!$A$6:$A$143,0))="","",INDEX(CALC!$H$6:$H$143,MATCH($A92,CALC!$A$6:$A$143,0)))))</f>
        <v/>
      </c>
      <c r="I92">
        <f>IF($E92="","",IF(OR($H92="",$F92=0,$F92=""),$E92,$G92*$E92+(1-$G92)*$H92))</f>
        <v/>
      </c>
      <c r="J92">
        <f>IF(OR($A92="",SETTINGS!$B$4="",SETTINGS!$B$4&lt;=1),"",IF(COUNTIFS(HISTORY!$A$6:$A$3005,SETTINGS!$B$4-1,HISTORY!$B$6:$B$3005,$A92)=1,SUMIFS(HISTORY!$C$6:$C$3005,HISTORY!$A$6:$A$3005,SETTINGS!$B$4-1,HISTORY!$B$6:$B$3005,$A92),""))</f>
        <v/>
      </c>
      <c r="K92">
        <f>IF($I92="","",IF(ISNUMBER($J92),$J92+MAX(-SETTINGS!$B$12,MIN(SETTINGS!$B$12,$I92-$J92)),$I92))</f>
        <v/>
      </c>
      <c r="O92">
        <f>IF($A92="","",IF(ISNUMBER($L92),$L92,IF($K92="","",$K92)))</f>
        <v/>
      </c>
      <c r="P92">
        <f>IF($A92="","",IF(ISNUMBER($L92),"OVERRIDE","MODEL"))</f>
        <v/>
      </c>
      <c r="Q92">
        <f>IF($A92="","",SETTINGS!$B$6)</f>
        <v/>
      </c>
      <c r="S92">
        <f>IF($A92="","",IF(ISNUMBER($R92),$R92,$Q92))</f>
        <v/>
      </c>
      <c r="W92">
        <f>IF($A92="","",SUMIFS(CLEAN!$AD$6:$AD$1005,CLEAN!$P$6:$P$1005,$A92)+SUMIFS(CLEAN!$AE$6:$AE$1005,CLEAN!$N$6:$N$1005,$A92))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MAP'!$C93)</f>
        <v/>
      </c>
      <c r="D93">
        <f>IF('TEAM MAP'!$A93="","",'TEAM MAP'!$E93)</f>
        <v/>
      </c>
      <c r="E93">
        <f>IF($A93="","",IF(ISNA(MATCH($A93,PRESEASON!$A$6:$A$143,0)),"",IF(INDEX(PRESEASON!$Z$6:$Z$143,MATCH($A93,PRESEASON!$A$6:$A$143,0))="","",INDEX(PRESEASON!$Z$6:$Z$143,MATCH($A93,PRESEASON!$A$6:$A$143,0)))))</f>
        <v/>
      </c>
      <c r="F93">
        <f>IF($A93="","",SUMIFS(CLEAN!$AB$6:$AB$1005,CLEAN!$P$6:$P$1005,$A93)+SUMIFS(CLEAN!$AC$6:$AC$1005,CLEAN!$N$6:$N$1005,$A93))</f>
        <v/>
      </c>
      <c r="G93">
        <f>IF(OR($A93="",$F93=""),"",IF(MIN($F93,9)&gt;=9,SETTINGS!$C$46,INDEX(SETTINGS!$C$37:$C$46,INT(MIN($F93,9))+1)+(MIN($F93,9)-INT(MIN($F93,9)))*(INDEX(SETTINGS!$C$37:$C$46,INT(MIN($F93,9))+2)-INDEX(SETTINGS!$C$37:$C$46,INT(MIN($F93,9))+1))))</f>
        <v/>
      </c>
      <c r="H93">
        <f>IF($A93="","",IF(ISNA(MATCH($A93,CALC!$A$6:$A$143,0)),"",IF(INDEX(CALC!$H$6:$H$143,MATCH($A93,CALC!$A$6:$A$143,0))="","",INDEX(CALC!$H$6:$H$143,MATCH($A93,CALC!$A$6:$A$143,0)))))</f>
        <v/>
      </c>
      <c r="I93">
        <f>IF($E93="","",IF(OR($H93="",$F93=0,$F93=""),$E93,$G93*$E93+(1-$G93)*$H93))</f>
        <v/>
      </c>
      <c r="J93">
        <f>IF(OR($A93="",SETTINGS!$B$4="",SETTINGS!$B$4&lt;=1),"",IF(COUNTIFS(HISTORY!$A$6:$A$3005,SETTINGS!$B$4-1,HISTORY!$B$6:$B$3005,$A93)=1,SUMIFS(HISTORY!$C$6:$C$3005,HISTORY!$A$6:$A$3005,SETTINGS!$B$4-1,HISTORY!$B$6:$B$3005,$A93),""))</f>
        <v/>
      </c>
      <c r="K93">
        <f>IF($I93="","",IF(ISNUMBER($J93),$J93+MAX(-SETTINGS!$B$12,MIN(SETTINGS!$B$12,$I93-$J93)),$I93))</f>
        <v/>
      </c>
      <c r="O93">
        <f>IF($A93="","",IF(ISNUMBER($L93),$L93,IF($K93="","",$K93)))</f>
        <v/>
      </c>
      <c r="P93">
        <f>IF($A93="","",IF(ISNUMBER($L93),"OVERRIDE","MODEL"))</f>
        <v/>
      </c>
      <c r="Q93">
        <f>IF($A93="","",SETTINGS!$B$6)</f>
        <v/>
      </c>
      <c r="S93">
        <f>IF($A93="","",IF(ISNUMBER($R93),$R93,$Q93))</f>
        <v/>
      </c>
      <c r="W93">
        <f>IF($A93="","",SUMIFS(CLEAN!$AD$6:$AD$1005,CLEAN!$P$6:$P$1005,$A93)+SUMIFS(CLEAN!$AE$6:$AE$1005,CLEAN!$N$6:$N$1005,$A93))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MAP'!$C94)</f>
        <v/>
      </c>
      <c r="D94">
        <f>IF('TEAM MAP'!$A94="","",'TEAM MAP'!$E94)</f>
        <v/>
      </c>
      <c r="E94">
        <f>IF($A94="","",IF(ISNA(MATCH($A94,PRESEASON!$A$6:$A$143,0)),"",IF(INDEX(PRESEASON!$Z$6:$Z$143,MATCH($A94,PRESEASON!$A$6:$A$143,0))="","",INDEX(PRESEASON!$Z$6:$Z$143,MATCH($A94,PRESEASON!$A$6:$A$143,0)))))</f>
        <v/>
      </c>
      <c r="F94">
        <f>IF($A94="","",SUMIFS(CLEAN!$AB$6:$AB$1005,CLEAN!$P$6:$P$1005,$A94)+SUMIFS(CLEAN!$AC$6:$AC$1005,CLEAN!$N$6:$N$1005,$A94))</f>
        <v/>
      </c>
      <c r="G94">
        <f>IF(OR($A94="",$F94=""),"",IF(MIN($F94,9)&gt;=9,SETTINGS!$C$46,INDEX(SETTINGS!$C$37:$C$46,INT(MIN($F94,9))+1)+(MIN($F94,9)-INT(MIN($F94,9)))*(INDEX(SETTINGS!$C$37:$C$46,INT(MIN($F94,9))+2)-INDEX(SETTINGS!$C$37:$C$46,INT(MIN($F94,9))+1))))</f>
        <v/>
      </c>
      <c r="H94">
        <f>IF($A94="","",IF(ISNA(MATCH($A94,CALC!$A$6:$A$143,0)),"",IF(INDEX(CALC!$H$6:$H$143,MATCH($A94,CALC!$A$6:$A$143,0))="","",INDEX(CALC!$H$6:$H$143,MATCH($A94,CALC!$A$6:$A$143,0)))))</f>
        <v/>
      </c>
      <c r="I94">
        <f>IF($E94="","",IF(OR($H94="",$F94=0,$F94=""),$E94,$G94*$E94+(1-$G94)*$H94))</f>
        <v/>
      </c>
      <c r="J94">
        <f>IF(OR($A94="",SETTINGS!$B$4="",SETTINGS!$B$4&lt;=1),"",IF(COUNTIFS(HISTORY!$A$6:$A$3005,SETTINGS!$B$4-1,HISTORY!$B$6:$B$3005,$A94)=1,SUMIFS(HISTORY!$C$6:$C$3005,HISTORY!$A$6:$A$3005,SETTINGS!$B$4-1,HISTORY!$B$6:$B$3005,$A94),""))</f>
        <v/>
      </c>
      <c r="K94">
        <f>IF($I94="","",IF(ISNUMBER($J94),$J94+MAX(-SETTINGS!$B$12,MIN(SETTINGS!$B$12,$I94-$J94)),$I94))</f>
        <v/>
      </c>
      <c r="O94">
        <f>IF($A94="","",IF(ISNUMBER($L94),$L94,IF($K94="","",$K94)))</f>
        <v/>
      </c>
      <c r="P94">
        <f>IF($A94="","",IF(ISNUMBER($L94),"OVERRIDE","MODEL"))</f>
        <v/>
      </c>
      <c r="Q94">
        <f>IF($A94="","",SETTINGS!$B$6)</f>
        <v/>
      </c>
      <c r="S94">
        <f>IF($A94="","",IF(ISNUMBER($R94),$R94,$Q94))</f>
        <v/>
      </c>
      <c r="W94">
        <f>IF($A94="","",SUMIFS(CLEAN!$AD$6:$AD$1005,CLEAN!$P$6:$P$1005,$A94)+SUMIFS(CLEAN!$AE$6:$AE$1005,CLEAN!$N$6:$N$1005,$A94))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MAP'!$C95)</f>
        <v/>
      </c>
      <c r="D95">
        <f>IF('TEAM MAP'!$A95="","",'TEAM MAP'!$E95)</f>
        <v/>
      </c>
      <c r="E95">
        <f>IF($A95="","",IF(ISNA(MATCH($A95,PRESEASON!$A$6:$A$143,0)),"",IF(INDEX(PRESEASON!$Z$6:$Z$143,MATCH($A95,PRESEASON!$A$6:$A$143,0))="","",INDEX(PRESEASON!$Z$6:$Z$143,MATCH($A95,PRESEASON!$A$6:$A$143,0)))))</f>
        <v/>
      </c>
      <c r="F95">
        <f>IF($A95="","",SUMIFS(CLEAN!$AB$6:$AB$1005,CLEAN!$P$6:$P$1005,$A95)+SUMIFS(CLEAN!$AC$6:$AC$1005,CLEAN!$N$6:$N$1005,$A95))</f>
        <v/>
      </c>
      <c r="G95">
        <f>IF(OR($A95="",$F95=""),"",IF(MIN($F95,9)&gt;=9,SETTINGS!$C$46,INDEX(SETTINGS!$C$37:$C$46,INT(MIN($F95,9))+1)+(MIN($F95,9)-INT(MIN($F95,9)))*(INDEX(SETTINGS!$C$37:$C$46,INT(MIN($F95,9))+2)-INDEX(SETTINGS!$C$37:$C$46,INT(MIN($F95,9))+1))))</f>
        <v/>
      </c>
      <c r="H95">
        <f>IF($A95="","",IF(ISNA(MATCH($A95,CALC!$A$6:$A$143,0)),"",IF(INDEX(CALC!$H$6:$H$143,MATCH($A95,CALC!$A$6:$A$143,0))="","",INDEX(CALC!$H$6:$H$143,MATCH($A95,CALC!$A$6:$A$143,0)))))</f>
        <v/>
      </c>
      <c r="I95">
        <f>IF($E95="","",IF(OR($H95="",$F95=0,$F95=""),$E95,$G95*$E95+(1-$G95)*$H95))</f>
        <v/>
      </c>
      <c r="J95">
        <f>IF(OR($A95="",SETTINGS!$B$4="",SETTINGS!$B$4&lt;=1),"",IF(COUNTIFS(HISTORY!$A$6:$A$3005,SETTINGS!$B$4-1,HISTORY!$B$6:$B$3005,$A95)=1,SUMIFS(HISTORY!$C$6:$C$3005,HISTORY!$A$6:$A$3005,SETTINGS!$B$4-1,HISTORY!$B$6:$B$3005,$A95),""))</f>
        <v/>
      </c>
      <c r="K95">
        <f>IF($I95="","",IF(ISNUMBER($J95),$J95+MAX(-SETTINGS!$B$12,MIN(SETTINGS!$B$12,$I95-$J95)),$I95))</f>
        <v/>
      </c>
      <c r="O95">
        <f>IF($A95="","",IF(ISNUMBER($L95),$L95,IF($K95="","",$K95)))</f>
        <v/>
      </c>
      <c r="P95">
        <f>IF($A95="","",IF(ISNUMBER($L95),"OVERRIDE","MODEL"))</f>
        <v/>
      </c>
      <c r="Q95">
        <f>IF($A95="","",SETTINGS!$B$6)</f>
        <v/>
      </c>
      <c r="S95">
        <f>IF($A95="","",IF(ISNUMBER($R95),$R95,$Q95))</f>
        <v/>
      </c>
      <c r="W95">
        <f>IF($A95="","",SUMIFS(CLEAN!$AD$6:$AD$1005,CLEAN!$P$6:$P$1005,$A95)+SUMIFS(CLEAN!$AE$6:$AE$1005,CLEAN!$N$6:$N$1005,$A95))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MAP'!$C96)</f>
        <v/>
      </c>
      <c r="D96">
        <f>IF('TEAM MAP'!$A96="","",'TEAM MAP'!$E96)</f>
        <v/>
      </c>
      <c r="E96">
        <f>IF($A96="","",IF(ISNA(MATCH($A96,PRESEASON!$A$6:$A$143,0)),"",IF(INDEX(PRESEASON!$Z$6:$Z$143,MATCH($A96,PRESEASON!$A$6:$A$143,0))="","",INDEX(PRESEASON!$Z$6:$Z$143,MATCH($A96,PRESEASON!$A$6:$A$143,0)))))</f>
        <v/>
      </c>
      <c r="F96">
        <f>IF($A96="","",SUMIFS(CLEAN!$AB$6:$AB$1005,CLEAN!$P$6:$P$1005,$A96)+SUMIFS(CLEAN!$AC$6:$AC$1005,CLEAN!$N$6:$N$1005,$A96))</f>
        <v/>
      </c>
      <c r="G96">
        <f>IF(OR($A96="",$F96=""),"",IF(MIN($F96,9)&gt;=9,SETTINGS!$C$46,INDEX(SETTINGS!$C$37:$C$46,INT(MIN($F96,9))+1)+(MIN($F96,9)-INT(MIN($F96,9)))*(INDEX(SETTINGS!$C$37:$C$46,INT(MIN($F96,9))+2)-INDEX(SETTINGS!$C$37:$C$46,INT(MIN($F96,9))+1))))</f>
        <v/>
      </c>
      <c r="H96">
        <f>IF($A96="","",IF(ISNA(MATCH($A96,CALC!$A$6:$A$143,0)),"",IF(INDEX(CALC!$H$6:$H$143,MATCH($A96,CALC!$A$6:$A$143,0))="","",INDEX(CALC!$H$6:$H$143,MATCH($A96,CALC!$A$6:$A$143,0)))))</f>
        <v/>
      </c>
      <c r="I96">
        <f>IF($E96="","",IF(OR($H96="",$F96=0,$F96=""),$E96,$G96*$E96+(1-$G96)*$H96))</f>
        <v/>
      </c>
      <c r="J96">
        <f>IF(OR($A96="",SETTINGS!$B$4="",SETTINGS!$B$4&lt;=1),"",IF(COUNTIFS(HISTORY!$A$6:$A$3005,SETTINGS!$B$4-1,HISTORY!$B$6:$B$3005,$A96)=1,SUMIFS(HISTORY!$C$6:$C$3005,HISTORY!$A$6:$A$3005,SETTINGS!$B$4-1,HISTORY!$B$6:$B$3005,$A96),""))</f>
        <v/>
      </c>
      <c r="K96">
        <f>IF($I96="","",IF(ISNUMBER($J96),$J96+MAX(-SETTINGS!$B$12,MIN(SETTINGS!$B$12,$I96-$J96)),$I96))</f>
        <v/>
      </c>
      <c r="O96">
        <f>IF($A96="","",IF(ISNUMBER($L96),$L96,IF($K96="","",$K96)))</f>
        <v/>
      </c>
      <c r="P96">
        <f>IF($A96="","",IF(ISNUMBER($L96),"OVERRIDE","MODEL"))</f>
        <v/>
      </c>
      <c r="Q96">
        <f>IF($A96="","",SETTINGS!$B$6)</f>
        <v/>
      </c>
      <c r="S96">
        <f>IF($A96="","",IF(ISNUMBER($R96),$R96,$Q96))</f>
        <v/>
      </c>
      <c r="W96">
        <f>IF($A96="","",SUMIFS(CLEAN!$AD$6:$AD$1005,CLEAN!$P$6:$P$1005,$A96)+SUMIFS(CLEAN!$AE$6:$AE$1005,CLEAN!$N$6:$N$1005,$A96))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MAP'!$C97)</f>
        <v/>
      </c>
      <c r="D97">
        <f>IF('TEAM MAP'!$A97="","",'TEAM MAP'!$E97)</f>
        <v/>
      </c>
      <c r="E97">
        <f>IF($A97="","",IF(ISNA(MATCH($A97,PRESEASON!$A$6:$A$143,0)),"",IF(INDEX(PRESEASON!$Z$6:$Z$143,MATCH($A97,PRESEASON!$A$6:$A$143,0))="","",INDEX(PRESEASON!$Z$6:$Z$143,MATCH($A97,PRESEASON!$A$6:$A$143,0)))))</f>
        <v/>
      </c>
      <c r="F97">
        <f>IF($A97="","",SUMIFS(CLEAN!$AB$6:$AB$1005,CLEAN!$P$6:$P$1005,$A97)+SUMIFS(CLEAN!$AC$6:$AC$1005,CLEAN!$N$6:$N$1005,$A97))</f>
        <v/>
      </c>
      <c r="G97">
        <f>IF(OR($A97="",$F97=""),"",IF(MIN($F97,9)&gt;=9,SETTINGS!$C$46,INDEX(SETTINGS!$C$37:$C$46,INT(MIN($F97,9))+1)+(MIN($F97,9)-INT(MIN($F97,9)))*(INDEX(SETTINGS!$C$37:$C$46,INT(MIN($F97,9))+2)-INDEX(SETTINGS!$C$37:$C$46,INT(MIN($F97,9))+1))))</f>
        <v/>
      </c>
      <c r="H97">
        <f>IF($A97="","",IF(ISNA(MATCH($A97,CALC!$A$6:$A$143,0)),"",IF(INDEX(CALC!$H$6:$H$143,MATCH($A97,CALC!$A$6:$A$143,0))="","",INDEX(CALC!$H$6:$H$143,MATCH($A97,CALC!$A$6:$A$143,0)))))</f>
        <v/>
      </c>
      <c r="I97">
        <f>IF($E97="","",IF(OR($H97="",$F97=0,$F97=""),$E97,$G97*$E97+(1-$G97)*$H97))</f>
        <v/>
      </c>
      <c r="J97">
        <f>IF(OR($A97="",SETTINGS!$B$4="",SETTINGS!$B$4&lt;=1),"",IF(COUNTIFS(HISTORY!$A$6:$A$3005,SETTINGS!$B$4-1,HISTORY!$B$6:$B$3005,$A97)=1,SUMIFS(HISTORY!$C$6:$C$3005,HISTORY!$A$6:$A$3005,SETTINGS!$B$4-1,HISTORY!$B$6:$B$3005,$A97),""))</f>
        <v/>
      </c>
      <c r="K97">
        <f>IF($I97="","",IF(ISNUMBER($J97),$J97+MAX(-SETTINGS!$B$12,MIN(SETTINGS!$B$12,$I97-$J97)),$I97))</f>
        <v/>
      </c>
      <c r="O97">
        <f>IF($A97="","",IF(ISNUMBER($L97),$L97,IF($K97="","",$K97)))</f>
        <v/>
      </c>
      <c r="P97">
        <f>IF($A97="","",IF(ISNUMBER($L97),"OVERRIDE","MODEL"))</f>
        <v/>
      </c>
      <c r="Q97">
        <f>IF($A97="","",SETTINGS!$B$6)</f>
        <v/>
      </c>
      <c r="S97">
        <f>IF($A97="","",IF(ISNUMBER($R97),$R97,$Q97))</f>
        <v/>
      </c>
      <c r="W97">
        <f>IF($A97="","",SUMIFS(CLEAN!$AD$6:$AD$1005,CLEAN!$P$6:$P$1005,$A97)+SUMIFS(CLEAN!$AE$6:$AE$1005,CLEAN!$N$6:$N$1005,$A97))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MAP'!$C98)</f>
        <v/>
      </c>
      <c r="D98">
        <f>IF('TEAM MAP'!$A98="","",'TEAM MAP'!$E98)</f>
        <v/>
      </c>
      <c r="E98">
        <f>IF($A98="","",IF(ISNA(MATCH($A98,PRESEASON!$A$6:$A$143,0)),"",IF(INDEX(PRESEASON!$Z$6:$Z$143,MATCH($A98,PRESEASON!$A$6:$A$143,0))="","",INDEX(PRESEASON!$Z$6:$Z$143,MATCH($A98,PRESEASON!$A$6:$A$143,0)))))</f>
        <v/>
      </c>
      <c r="F98">
        <f>IF($A98="","",SUMIFS(CLEAN!$AB$6:$AB$1005,CLEAN!$P$6:$P$1005,$A98)+SUMIFS(CLEAN!$AC$6:$AC$1005,CLEAN!$N$6:$N$1005,$A98))</f>
        <v/>
      </c>
      <c r="G98">
        <f>IF(OR($A98="",$F98=""),"",IF(MIN($F98,9)&gt;=9,SETTINGS!$C$46,INDEX(SETTINGS!$C$37:$C$46,INT(MIN($F98,9))+1)+(MIN($F98,9)-INT(MIN($F98,9)))*(INDEX(SETTINGS!$C$37:$C$46,INT(MIN($F98,9))+2)-INDEX(SETTINGS!$C$37:$C$46,INT(MIN($F98,9))+1))))</f>
        <v/>
      </c>
      <c r="H98">
        <f>IF($A98="","",IF(ISNA(MATCH($A98,CALC!$A$6:$A$143,0)),"",IF(INDEX(CALC!$H$6:$H$143,MATCH($A98,CALC!$A$6:$A$143,0))="","",INDEX(CALC!$H$6:$H$143,MATCH($A98,CALC!$A$6:$A$143,0)))))</f>
        <v/>
      </c>
      <c r="I98">
        <f>IF($E98="","",IF(OR($H98="",$F98=0,$F98=""),$E98,$G98*$E98+(1-$G98)*$H98))</f>
        <v/>
      </c>
      <c r="J98">
        <f>IF(OR($A98="",SETTINGS!$B$4="",SETTINGS!$B$4&lt;=1),"",IF(COUNTIFS(HISTORY!$A$6:$A$3005,SETTINGS!$B$4-1,HISTORY!$B$6:$B$3005,$A98)=1,SUMIFS(HISTORY!$C$6:$C$3005,HISTORY!$A$6:$A$3005,SETTINGS!$B$4-1,HISTORY!$B$6:$B$3005,$A98),""))</f>
        <v/>
      </c>
      <c r="K98">
        <f>IF($I98="","",IF(ISNUMBER($J98),$J98+MAX(-SETTINGS!$B$12,MIN(SETTINGS!$B$12,$I98-$J98)),$I98))</f>
        <v/>
      </c>
      <c r="O98">
        <f>IF($A98="","",IF(ISNUMBER($L98),$L98,IF($K98="","",$K98)))</f>
        <v/>
      </c>
      <c r="P98">
        <f>IF($A98="","",IF(ISNUMBER($L98),"OVERRIDE","MODEL"))</f>
        <v/>
      </c>
      <c r="Q98">
        <f>IF($A98="","",SETTINGS!$B$6)</f>
        <v/>
      </c>
      <c r="S98">
        <f>IF($A98="","",IF(ISNUMBER($R98),$R98,$Q98))</f>
        <v/>
      </c>
      <c r="W98">
        <f>IF($A98="","",SUMIFS(CLEAN!$AD$6:$AD$1005,CLEAN!$P$6:$P$1005,$A98)+SUMIFS(CLEAN!$AE$6:$AE$1005,CLEAN!$N$6:$N$1005,$A98))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MAP'!$C99)</f>
        <v/>
      </c>
      <c r="D99">
        <f>IF('TEAM MAP'!$A99="","",'TEAM MAP'!$E99)</f>
        <v/>
      </c>
      <c r="E99">
        <f>IF($A99="","",IF(ISNA(MATCH($A99,PRESEASON!$A$6:$A$143,0)),"",IF(INDEX(PRESEASON!$Z$6:$Z$143,MATCH($A99,PRESEASON!$A$6:$A$143,0))="","",INDEX(PRESEASON!$Z$6:$Z$143,MATCH($A99,PRESEASON!$A$6:$A$143,0)))))</f>
        <v/>
      </c>
      <c r="F99">
        <f>IF($A99="","",SUMIFS(CLEAN!$AB$6:$AB$1005,CLEAN!$P$6:$P$1005,$A99)+SUMIFS(CLEAN!$AC$6:$AC$1005,CLEAN!$N$6:$N$1005,$A99))</f>
        <v/>
      </c>
      <c r="G99">
        <f>IF(OR($A99="",$F99=""),"",IF(MIN($F99,9)&gt;=9,SETTINGS!$C$46,INDEX(SETTINGS!$C$37:$C$46,INT(MIN($F99,9))+1)+(MIN($F99,9)-INT(MIN($F99,9)))*(INDEX(SETTINGS!$C$37:$C$46,INT(MIN($F99,9))+2)-INDEX(SETTINGS!$C$37:$C$46,INT(MIN($F99,9))+1))))</f>
        <v/>
      </c>
      <c r="H99">
        <f>IF($A99="","",IF(ISNA(MATCH($A99,CALC!$A$6:$A$143,0)),"",IF(INDEX(CALC!$H$6:$H$143,MATCH($A99,CALC!$A$6:$A$143,0))="","",INDEX(CALC!$H$6:$H$143,MATCH($A99,CALC!$A$6:$A$143,0)))))</f>
        <v/>
      </c>
      <c r="I99">
        <f>IF($E99="","",IF(OR($H99="",$F99=0,$F99=""),$E99,$G99*$E99+(1-$G99)*$H99))</f>
        <v/>
      </c>
      <c r="J99">
        <f>IF(OR($A99="",SETTINGS!$B$4="",SETTINGS!$B$4&lt;=1),"",IF(COUNTIFS(HISTORY!$A$6:$A$3005,SETTINGS!$B$4-1,HISTORY!$B$6:$B$3005,$A99)=1,SUMIFS(HISTORY!$C$6:$C$3005,HISTORY!$A$6:$A$3005,SETTINGS!$B$4-1,HISTORY!$B$6:$B$3005,$A99),""))</f>
        <v/>
      </c>
      <c r="K99">
        <f>IF($I99="","",IF(ISNUMBER($J99),$J99+MAX(-SETTINGS!$B$12,MIN(SETTINGS!$B$12,$I99-$J99)),$I99))</f>
        <v/>
      </c>
      <c r="O99">
        <f>IF($A99="","",IF(ISNUMBER($L99),$L99,IF($K99="","",$K99)))</f>
        <v/>
      </c>
      <c r="P99">
        <f>IF($A99="","",IF(ISNUMBER($L99),"OVERRIDE","MODEL"))</f>
        <v/>
      </c>
      <c r="Q99">
        <f>IF($A99="","",SETTINGS!$B$6)</f>
        <v/>
      </c>
      <c r="S99">
        <f>IF($A99="","",IF(ISNUMBER($R99),$R99,$Q99))</f>
        <v/>
      </c>
      <c r="W99">
        <f>IF($A99="","",SUMIFS(CLEAN!$AD$6:$AD$1005,CLEAN!$P$6:$P$1005,$A99)+SUMIFS(CLEAN!$AE$6:$AE$1005,CLEAN!$N$6:$N$1005,$A99))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MAP'!$C100)</f>
        <v/>
      </c>
      <c r="D100">
        <f>IF('TEAM MAP'!$A100="","",'TEAM MAP'!$E100)</f>
        <v/>
      </c>
      <c r="E100">
        <f>IF($A100="","",IF(ISNA(MATCH($A100,PRESEASON!$A$6:$A$143,0)),"",IF(INDEX(PRESEASON!$Z$6:$Z$143,MATCH($A100,PRESEASON!$A$6:$A$143,0))="","",INDEX(PRESEASON!$Z$6:$Z$143,MATCH($A100,PRESEASON!$A$6:$A$143,0)))))</f>
        <v/>
      </c>
      <c r="F100">
        <f>IF($A100="","",SUMIFS(CLEAN!$AB$6:$AB$1005,CLEAN!$P$6:$P$1005,$A100)+SUMIFS(CLEAN!$AC$6:$AC$1005,CLEAN!$N$6:$N$1005,$A100))</f>
        <v/>
      </c>
      <c r="G100">
        <f>IF(OR($A100="",$F100=""),"",IF(MIN($F100,9)&gt;=9,SETTINGS!$C$46,INDEX(SETTINGS!$C$37:$C$46,INT(MIN($F100,9))+1)+(MIN($F100,9)-INT(MIN($F100,9)))*(INDEX(SETTINGS!$C$37:$C$46,INT(MIN($F100,9))+2)-INDEX(SETTINGS!$C$37:$C$46,INT(MIN($F100,9))+1))))</f>
        <v/>
      </c>
      <c r="H100">
        <f>IF($A100="","",IF(ISNA(MATCH($A100,CALC!$A$6:$A$143,0)),"",IF(INDEX(CALC!$H$6:$H$143,MATCH($A100,CALC!$A$6:$A$143,0))="","",INDEX(CALC!$H$6:$H$143,MATCH($A100,CALC!$A$6:$A$143,0)))))</f>
        <v/>
      </c>
      <c r="I100">
        <f>IF($E100="","",IF(OR($H100="",$F100=0,$F100=""),$E100,$G100*$E100+(1-$G100)*$H100))</f>
        <v/>
      </c>
      <c r="J100">
        <f>IF(OR($A100="",SETTINGS!$B$4="",SETTINGS!$B$4&lt;=1),"",IF(COUNTIFS(HISTORY!$A$6:$A$3005,SETTINGS!$B$4-1,HISTORY!$B$6:$B$3005,$A100)=1,SUMIFS(HISTORY!$C$6:$C$3005,HISTORY!$A$6:$A$3005,SETTINGS!$B$4-1,HISTORY!$B$6:$B$3005,$A100),""))</f>
        <v/>
      </c>
      <c r="K100">
        <f>IF($I100="","",IF(ISNUMBER($J100),$J100+MAX(-SETTINGS!$B$12,MIN(SETTINGS!$B$12,$I100-$J100)),$I100))</f>
        <v/>
      </c>
      <c r="O100">
        <f>IF($A100="","",IF(ISNUMBER($L100),$L100,IF($K100="","",$K100)))</f>
        <v/>
      </c>
      <c r="P100">
        <f>IF($A100="","",IF(ISNUMBER($L100),"OVERRIDE","MODEL"))</f>
        <v/>
      </c>
      <c r="Q100">
        <f>IF($A100="","",SETTINGS!$B$6)</f>
        <v/>
      </c>
      <c r="S100">
        <f>IF($A100="","",IF(ISNUMBER($R100),$R100,$Q100))</f>
        <v/>
      </c>
      <c r="W100">
        <f>IF($A100="","",SUMIFS(CLEAN!$AD$6:$AD$1005,CLEAN!$P$6:$P$1005,$A100)+SUMIFS(CLEAN!$AE$6:$AE$1005,CLEAN!$N$6:$N$1005,$A100))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MAP'!$C101)</f>
        <v/>
      </c>
      <c r="D101">
        <f>IF('TEAM MAP'!$A101="","",'TEAM MAP'!$E101)</f>
        <v/>
      </c>
      <c r="E101">
        <f>IF($A101="","",IF(ISNA(MATCH($A101,PRESEASON!$A$6:$A$143,0)),"",IF(INDEX(PRESEASON!$Z$6:$Z$143,MATCH($A101,PRESEASON!$A$6:$A$143,0))="","",INDEX(PRESEASON!$Z$6:$Z$143,MATCH($A101,PRESEASON!$A$6:$A$143,0)))))</f>
        <v/>
      </c>
      <c r="F101">
        <f>IF($A101="","",SUMIFS(CLEAN!$AB$6:$AB$1005,CLEAN!$P$6:$P$1005,$A101)+SUMIFS(CLEAN!$AC$6:$AC$1005,CLEAN!$N$6:$N$1005,$A101))</f>
        <v/>
      </c>
      <c r="G101">
        <f>IF(OR($A101="",$F101=""),"",IF(MIN($F101,9)&gt;=9,SETTINGS!$C$46,INDEX(SETTINGS!$C$37:$C$46,INT(MIN($F101,9))+1)+(MIN($F101,9)-INT(MIN($F101,9)))*(INDEX(SETTINGS!$C$37:$C$46,INT(MIN($F101,9))+2)-INDEX(SETTINGS!$C$37:$C$46,INT(MIN($F101,9))+1))))</f>
        <v/>
      </c>
      <c r="H101">
        <f>IF($A101="","",IF(ISNA(MATCH($A101,CALC!$A$6:$A$143,0)),"",IF(INDEX(CALC!$H$6:$H$143,MATCH($A101,CALC!$A$6:$A$143,0))="","",INDEX(CALC!$H$6:$H$143,MATCH($A101,CALC!$A$6:$A$143,0)))))</f>
        <v/>
      </c>
      <c r="I101">
        <f>IF($E101="","",IF(OR($H101="",$F101=0,$F101=""),$E101,$G101*$E101+(1-$G101)*$H101))</f>
        <v/>
      </c>
      <c r="J101">
        <f>IF(OR($A101="",SETTINGS!$B$4="",SETTINGS!$B$4&lt;=1),"",IF(COUNTIFS(HISTORY!$A$6:$A$3005,SETTINGS!$B$4-1,HISTORY!$B$6:$B$3005,$A101)=1,SUMIFS(HISTORY!$C$6:$C$3005,HISTORY!$A$6:$A$3005,SETTINGS!$B$4-1,HISTORY!$B$6:$B$3005,$A101),""))</f>
        <v/>
      </c>
      <c r="K101">
        <f>IF($I101="","",IF(ISNUMBER($J101),$J101+MAX(-SETTINGS!$B$12,MIN(SETTINGS!$B$12,$I101-$J101)),$I101))</f>
        <v/>
      </c>
      <c r="O101">
        <f>IF($A101="","",IF(ISNUMBER($L101),$L101,IF($K101="","",$K101)))</f>
        <v/>
      </c>
      <c r="P101">
        <f>IF($A101="","",IF(ISNUMBER($L101),"OVERRIDE","MODEL"))</f>
        <v/>
      </c>
      <c r="Q101">
        <f>IF($A101="","",SETTINGS!$B$6)</f>
        <v/>
      </c>
      <c r="S101">
        <f>IF($A101="","",IF(ISNUMBER($R101),$R101,$Q101))</f>
        <v/>
      </c>
      <c r="W101">
        <f>IF($A101="","",SUMIFS(CLEAN!$AD$6:$AD$1005,CLEAN!$P$6:$P$1005,$A101)+SUMIFS(CLEAN!$AE$6:$AE$1005,CLEAN!$N$6:$N$1005,$A101))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MAP'!$C102)</f>
        <v/>
      </c>
      <c r="D102">
        <f>IF('TEAM MAP'!$A102="","",'TEAM MAP'!$E102)</f>
        <v/>
      </c>
      <c r="E102">
        <f>IF($A102="","",IF(ISNA(MATCH($A102,PRESEASON!$A$6:$A$143,0)),"",IF(INDEX(PRESEASON!$Z$6:$Z$143,MATCH($A102,PRESEASON!$A$6:$A$143,0))="","",INDEX(PRESEASON!$Z$6:$Z$143,MATCH($A102,PRESEASON!$A$6:$A$143,0)))))</f>
        <v/>
      </c>
      <c r="F102">
        <f>IF($A102="","",SUMIFS(CLEAN!$AB$6:$AB$1005,CLEAN!$P$6:$P$1005,$A102)+SUMIFS(CLEAN!$AC$6:$AC$1005,CLEAN!$N$6:$N$1005,$A102))</f>
        <v/>
      </c>
      <c r="G102">
        <f>IF(OR($A102="",$F102=""),"",IF(MIN($F102,9)&gt;=9,SETTINGS!$C$46,INDEX(SETTINGS!$C$37:$C$46,INT(MIN($F102,9))+1)+(MIN($F102,9)-INT(MIN($F102,9)))*(INDEX(SETTINGS!$C$37:$C$46,INT(MIN($F102,9))+2)-INDEX(SETTINGS!$C$37:$C$46,INT(MIN($F102,9))+1))))</f>
        <v/>
      </c>
      <c r="H102">
        <f>IF($A102="","",IF(ISNA(MATCH($A102,CALC!$A$6:$A$143,0)),"",IF(INDEX(CALC!$H$6:$H$143,MATCH($A102,CALC!$A$6:$A$143,0))="","",INDEX(CALC!$H$6:$H$143,MATCH($A102,CALC!$A$6:$A$143,0)))))</f>
        <v/>
      </c>
      <c r="I102">
        <f>IF($E102="","",IF(OR($H102="",$F102=0,$F102=""),$E102,$G102*$E102+(1-$G102)*$H102))</f>
        <v/>
      </c>
      <c r="J102">
        <f>IF(OR($A102="",SETTINGS!$B$4="",SETTINGS!$B$4&lt;=1),"",IF(COUNTIFS(HISTORY!$A$6:$A$3005,SETTINGS!$B$4-1,HISTORY!$B$6:$B$3005,$A102)=1,SUMIFS(HISTORY!$C$6:$C$3005,HISTORY!$A$6:$A$3005,SETTINGS!$B$4-1,HISTORY!$B$6:$B$3005,$A102),""))</f>
        <v/>
      </c>
      <c r="K102">
        <f>IF($I102="","",IF(ISNUMBER($J102),$J102+MAX(-SETTINGS!$B$12,MIN(SETTINGS!$B$12,$I102-$J102)),$I102))</f>
        <v/>
      </c>
      <c r="O102">
        <f>IF($A102="","",IF(ISNUMBER($L102),$L102,IF($K102="","",$K102)))</f>
        <v/>
      </c>
      <c r="P102">
        <f>IF($A102="","",IF(ISNUMBER($L102),"OVERRIDE","MODEL"))</f>
        <v/>
      </c>
      <c r="Q102">
        <f>IF($A102="","",SETTINGS!$B$6)</f>
        <v/>
      </c>
      <c r="S102">
        <f>IF($A102="","",IF(ISNUMBER($R102),$R102,$Q102))</f>
        <v/>
      </c>
      <c r="W102">
        <f>IF($A102="","",SUMIFS(CLEAN!$AD$6:$AD$1005,CLEAN!$P$6:$P$1005,$A102)+SUMIFS(CLEAN!$AE$6:$AE$1005,CLEAN!$N$6:$N$1005,$A102))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MAP'!$C103)</f>
        <v/>
      </c>
      <c r="D103">
        <f>IF('TEAM MAP'!$A103="","",'TEAM MAP'!$E103)</f>
        <v/>
      </c>
      <c r="E103">
        <f>IF($A103="","",IF(ISNA(MATCH($A103,PRESEASON!$A$6:$A$143,0)),"",IF(INDEX(PRESEASON!$Z$6:$Z$143,MATCH($A103,PRESEASON!$A$6:$A$143,0))="","",INDEX(PRESEASON!$Z$6:$Z$143,MATCH($A103,PRESEASON!$A$6:$A$143,0)))))</f>
        <v/>
      </c>
      <c r="F103">
        <f>IF($A103="","",SUMIFS(CLEAN!$AB$6:$AB$1005,CLEAN!$P$6:$P$1005,$A103)+SUMIFS(CLEAN!$AC$6:$AC$1005,CLEAN!$N$6:$N$1005,$A103))</f>
        <v/>
      </c>
      <c r="G103">
        <f>IF(OR($A103="",$F103=""),"",IF(MIN($F103,9)&gt;=9,SETTINGS!$C$46,INDEX(SETTINGS!$C$37:$C$46,INT(MIN($F103,9))+1)+(MIN($F103,9)-INT(MIN($F103,9)))*(INDEX(SETTINGS!$C$37:$C$46,INT(MIN($F103,9))+2)-INDEX(SETTINGS!$C$37:$C$46,INT(MIN($F103,9))+1))))</f>
        <v/>
      </c>
      <c r="H103">
        <f>IF($A103="","",IF(ISNA(MATCH($A103,CALC!$A$6:$A$143,0)),"",IF(INDEX(CALC!$H$6:$H$143,MATCH($A103,CALC!$A$6:$A$143,0))="","",INDEX(CALC!$H$6:$H$143,MATCH($A103,CALC!$A$6:$A$143,0)))))</f>
        <v/>
      </c>
      <c r="I103">
        <f>IF($E103="","",IF(OR($H103="",$F103=0,$F103=""),$E103,$G103*$E103+(1-$G103)*$H103))</f>
        <v/>
      </c>
      <c r="J103">
        <f>IF(OR($A103="",SETTINGS!$B$4="",SETTINGS!$B$4&lt;=1),"",IF(COUNTIFS(HISTORY!$A$6:$A$3005,SETTINGS!$B$4-1,HISTORY!$B$6:$B$3005,$A103)=1,SUMIFS(HISTORY!$C$6:$C$3005,HISTORY!$A$6:$A$3005,SETTINGS!$B$4-1,HISTORY!$B$6:$B$3005,$A103),""))</f>
        <v/>
      </c>
      <c r="K103">
        <f>IF($I103="","",IF(ISNUMBER($J103),$J103+MAX(-SETTINGS!$B$12,MIN(SETTINGS!$B$12,$I103-$J103)),$I103))</f>
        <v/>
      </c>
      <c r="O103">
        <f>IF($A103="","",IF(ISNUMBER($L103),$L103,IF($K103="","",$K103)))</f>
        <v/>
      </c>
      <c r="P103">
        <f>IF($A103="","",IF(ISNUMBER($L103),"OVERRIDE","MODEL"))</f>
        <v/>
      </c>
      <c r="Q103">
        <f>IF($A103="","",SETTINGS!$B$6)</f>
        <v/>
      </c>
      <c r="S103">
        <f>IF($A103="","",IF(ISNUMBER($R103),$R103,$Q103))</f>
        <v/>
      </c>
      <c r="W103">
        <f>IF($A103="","",SUMIFS(CLEAN!$AD$6:$AD$1005,CLEAN!$P$6:$P$1005,$A103)+SUMIFS(CLEAN!$AE$6:$AE$1005,CLEAN!$N$6:$N$1005,$A103))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MAP'!$C104)</f>
        <v/>
      </c>
      <c r="D104">
        <f>IF('TEAM MAP'!$A104="","",'TEAM MAP'!$E104)</f>
        <v/>
      </c>
      <c r="E104">
        <f>IF($A104="","",IF(ISNA(MATCH($A104,PRESEASON!$A$6:$A$143,0)),"",IF(INDEX(PRESEASON!$Z$6:$Z$143,MATCH($A104,PRESEASON!$A$6:$A$143,0))="","",INDEX(PRESEASON!$Z$6:$Z$143,MATCH($A104,PRESEASON!$A$6:$A$143,0)))))</f>
        <v/>
      </c>
      <c r="F104">
        <f>IF($A104="","",SUMIFS(CLEAN!$AB$6:$AB$1005,CLEAN!$P$6:$P$1005,$A104)+SUMIFS(CLEAN!$AC$6:$AC$1005,CLEAN!$N$6:$N$1005,$A104))</f>
        <v/>
      </c>
      <c r="G104">
        <f>IF(OR($A104="",$F104=""),"",IF(MIN($F104,9)&gt;=9,SETTINGS!$C$46,INDEX(SETTINGS!$C$37:$C$46,INT(MIN($F104,9))+1)+(MIN($F104,9)-INT(MIN($F104,9)))*(INDEX(SETTINGS!$C$37:$C$46,INT(MIN($F104,9))+2)-INDEX(SETTINGS!$C$37:$C$46,INT(MIN($F104,9))+1))))</f>
        <v/>
      </c>
      <c r="H104">
        <f>IF($A104="","",IF(ISNA(MATCH($A104,CALC!$A$6:$A$143,0)),"",IF(INDEX(CALC!$H$6:$H$143,MATCH($A104,CALC!$A$6:$A$143,0))="","",INDEX(CALC!$H$6:$H$143,MATCH($A104,CALC!$A$6:$A$143,0)))))</f>
        <v/>
      </c>
      <c r="I104">
        <f>IF($E104="","",IF(OR($H104="",$F104=0,$F104=""),$E104,$G104*$E104+(1-$G104)*$H104))</f>
        <v/>
      </c>
      <c r="J104">
        <f>IF(OR($A104="",SETTINGS!$B$4="",SETTINGS!$B$4&lt;=1),"",IF(COUNTIFS(HISTORY!$A$6:$A$3005,SETTINGS!$B$4-1,HISTORY!$B$6:$B$3005,$A104)=1,SUMIFS(HISTORY!$C$6:$C$3005,HISTORY!$A$6:$A$3005,SETTINGS!$B$4-1,HISTORY!$B$6:$B$3005,$A104),""))</f>
        <v/>
      </c>
      <c r="K104">
        <f>IF($I104="","",IF(ISNUMBER($J104),$J104+MAX(-SETTINGS!$B$12,MIN(SETTINGS!$B$12,$I104-$J104)),$I104))</f>
        <v/>
      </c>
      <c r="O104">
        <f>IF($A104="","",IF(ISNUMBER($L104),$L104,IF($K104="","",$K104)))</f>
        <v/>
      </c>
      <c r="P104">
        <f>IF($A104="","",IF(ISNUMBER($L104),"OVERRIDE","MODEL"))</f>
        <v/>
      </c>
      <c r="Q104">
        <f>IF($A104="","",SETTINGS!$B$6)</f>
        <v/>
      </c>
      <c r="S104">
        <f>IF($A104="","",IF(ISNUMBER($R104),$R104,$Q104))</f>
        <v/>
      </c>
      <c r="W104">
        <f>IF($A104="","",SUMIFS(CLEAN!$AD$6:$AD$1005,CLEAN!$P$6:$P$1005,$A104)+SUMIFS(CLEAN!$AE$6:$AE$1005,CLEAN!$N$6:$N$1005,$A104))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MAP'!$C105)</f>
        <v/>
      </c>
      <c r="D105">
        <f>IF('TEAM MAP'!$A105="","",'TEAM MAP'!$E105)</f>
        <v/>
      </c>
      <c r="E105">
        <f>IF($A105="","",IF(ISNA(MATCH($A105,PRESEASON!$A$6:$A$143,0)),"",IF(INDEX(PRESEASON!$Z$6:$Z$143,MATCH($A105,PRESEASON!$A$6:$A$143,0))="","",INDEX(PRESEASON!$Z$6:$Z$143,MATCH($A105,PRESEASON!$A$6:$A$143,0)))))</f>
        <v/>
      </c>
      <c r="F105">
        <f>IF($A105="","",SUMIFS(CLEAN!$AB$6:$AB$1005,CLEAN!$P$6:$P$1005,$A105)+SUMIFS(CLEAN!$AC$6:$AC$1005,CLEAN!$N$6:$N$1005,$A105))</f>
        <v/>
      </c>
      <c r="G105">
        <f>IF(OR($A105="",$F105=""),"",IF(MIN($F105,9)&gt;=9,SETTINGS!$C$46,INDEX(SETTINGS!$C$37:$C$46,INT(MIN($F105,9))+1)+(MIN($F105,9)-INT(MIN($F105,9)))*(INDEX(SETTINGS!$C$37:$C$46,INT(MIN($F105,9))+2)-INDEX(SETTINGS!$C$37:$C$46,INT(MIN($F105,9))+1))))</f>
        <v/>
      </c>
      <c r="H105">
        <f>IF($A105="","",IF(ISNA(MATCH($A105,CALC!$A$6:$A$143,0)),"",IF(INDEX(CALC!$H$6:$H$143,MATCH($A105,CALC!$A$6:$A$143,0))="","",INDEX(CALC!$H$6:$H$143,MATCH($A105,CALC!$A$6:$A$143,0)))))</f>
        <v/>
      </c>
      <c r="I105">
        <f>IF($E105="","",IF(OR($H105="",$F105=0,$F105=""),$E105,$G105*$E105+(1-$G105)*$H105))</f>
        <v/>
      </c>
      <c r="J105">
        <f>IF(OR($A105="",SETTINGS!$B$4="",SETTINGS!$B$4&lt;=1),"",IF(COUNTIFS(HISTORY!$A$6:$A$3005,SETTINGS!$B$4-1,HISTORY!$B$6:$B$3005,$A105)=1,SUMIFS(HISTORY!$C$6:$C$3005,HISTORY!$A$6:$A$3005,SETTINGS!$B$4-1,HISTORY!$B$6:$B$3005,$A105),""))</f>
        <v/>
      </c>
      <c r="K105">
        <f>IF($I105="","",IF(ISNUMBER($J105),$J105+MAX(-SETTINGS!$B$12,MIN(SETTINGS!$B$12,$I105-$J105)),$I105))</f>
        <v/>
      </c>
      <c r="O105">
        <f>IF($A105="","",IF(ISNUMBER($L105),$L105,IF($K105="","",$K105)))</f>
        <v/>
      </c>
      <c r="P105">
        <f>IF($A105="","",IF(ISNUMBER($L105),"OVERRIDE","MODEL"))</f>
        <v/>
      </c>
      <c r="Q105">
        <f>IF($A105="","",SETTINGS!$B$6)</f>
        <v/>
      </c>
      <c r="S105">
        <f>IF($A105="","",IF(ISNUMBER($R105),$R105,$Q105))</f>
        <v/>
      </c>
      <c r="W105">
        <f>IF($A105="","",SUMIFS(CLEAN!$AD$6:$AD$1005,CLEAN!$P$6:$P$1005,$A105)+SUMIFS(CLEAN!$AE$6:$AE$1005,CLEAN!$N$6:$N$1005,$A105))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MAP'!$C106)</f>
        <v/>
      </c>
      <c r="D106">
        <f>IF('TEAM MAP'!$A106="","",'TEAM MAP'!$E106)</f>
        <v/>
      </c>
      <c r="E106">
        <f>IF($A106="","",IF(ISNA(MATCH($A106,PRESEASON!$A$6:$A$143,0)),"",IF(INDEX(PRESEASON!$Z$6:$Z$143,MATCH($A106,PRESEASON!$A$6:$A$143,0))="","",INDEX(PRESEASON!$Z$6:$Z$143,MATCH($A106,PRESEASON!$A$6:$A$143,0)))))</f>
        <v/>
      </c>
      <c r="F106">
        <f>IF($A106="","",SUMIFS(CLEAN!$AB$6:$AB$1005,CLEAN!$P$6:$P$1005,$A106)+SUMIFS(CLEAN!$AC$6:$AC$1005,CLEAN!$N$6:$N$1005,$A106))</f>
        <v/>
      </c>
      <c r="G106">
        <f>IF(OR($A106="",$F106=""),"",IF(MIN($F106,9)&gt;=9,SETTINGS!$C$46,INDEX(SETTINGS!$C$37:$C$46,INT(MIN($F106,9))+1)+(MIN($F106,9)-INT(MIN($F106,9)))*(INDEX(SETTINGS!$C$37:$C$46,INT(MIN($F106,9))+2)-INDEX(SETTINGS!$C$37:$C$46,INT(MIN($F106,9))+1))))</f>
        <v/>
      </c>
      <c r="H106">
        <f>IF($A106="","",IF(ISNA(MATCH($A106,CALC!$A$6:$A$143,0)),"",IF(INDEX(CALC!$H$6:$H$143,MATCH($A106,CALC!$A$6:$A$143,0))="","",INDEX(CALC!$H$6:$H$143,MATCH($A106,CALC!$A$6:$A$143,0)))))</f>
        <v/>
      </c>
      <c r="I106">
        <f>IF($E106="","",IF(OR($H106="",$F106=0,$F106=""),$E106,$G106*$E106+(1-$G106)*$H106))</f>
        <v/>
      </c>
      <c r="J106">
        <f>IF(OR($A106="",SETTINGS!$B$4="",SETTINGS!$B$4&lt;=1),"",IF(COUNTIFS(HISTORY!$A$6:$A$3005,SETTINGS!$B$4-1,HISTORY!$B$6:$B$3005,$A106)=1,SUMIFS(HISTORY!$C$6:$C$3005,HISTORY!$A$6:$A$3005,SETTINGS!$B$4-1,HISTORY!$B$6:$B$3005,$A106),""))</f>
        <v/>
      </c>
      <c r="K106">
        <f>IF($I106="","",IF(ISNUMBER($J106),$J106+MAX(-SETTINGS!$B$12,MIN(SETTINGS!$B$12,$I106-$J106)),$I106))</f>
        <v/>
      </c>
      <c r="O106">
        <f>IF($A106="","",IF(ISNUMBER($L106),$L106,IF($K106="","",$K106)))</f>
        <v/>
      </c>
      <c r="P106">
        <f>IF($A106="","",IF(ISNUMBER($L106),"OVERRIDE","MODEL"))</f>
        <v/>
      </c>
      <c r="Q106">
        <f>IF($A106="","",SETTINGS!$B$6)</f>
        <v/>
      </c>
      <c r="S106">
        <f>IF($A106="","",IF(ISNUMBER($R106),$R106,$Q106))</f>
        <v/>
      </c>
      <c r="W106">
        <f>IF($A106="","",SUMIFS(CLEAN!$AD$6:$AD$1005,CLEAN!$P$6:$P$1005,$A106)+SUMIFS(CLEAN!$AE$6:$AE$1005,CLEAN!$N$6:$N$1005,$A106))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MAP'!$C107)</f>
        <v/>
      </c>
      <c r="D107">
        <f>IF('TEAM MAP'!$A107="","",'TEAM MAP'!$E107)</f>
        <v/>
      </c>
      <c r="E107">
        <f>IF($A107="","",IF(ISNA(MATCH($A107,PRESEASON!$A$6:$A$143,0)),"",IF(INDEX(PRESEASON!$Z$6:$Z$143,MATCH($A107,PRESEASON!$A$6:$A$143,0))="","",INDEX(PRESEASON!$Z$6:$Z$143,MATCH($A107,PRESEASON!$A$6:$A$143,0)))))</f>
        <v/>
      </c>
      <c r="F107">
        <f>IF($A107="","",SUMIFS(CLEAN!$AB$6:$AB$1005,CLEAN!$P$6:$P$1005,$A107)+SUMIFS(CLEAN!$AC$6:$AC$1005,CLEAN!$N$6:$N$1005,$A107))</f>
        <v/>
      </c>
      <c r="G107">
        <f>IF(OR($A107="",$F107=""),"",IF(MIN($F107,9)&gt;=9,SETTINGS!$C$46,INDEX(SETTINGS!$C$37:$C$46,INT(MIN($F107,9))+1)+(MIN($F107,9)-INT(MIN($F107,9)))*(INDEX(SETTINGS!$C$37:$C$46,INT(MIN($F107,9))+2)-INDEX(SETTINGS!$C$37:$C$46,INT(MIN($F107,9))+1))))</f>
        <v/>
      </c>
      <c r="H107">
        <f>IF($A107="","",IF(ISNA(MATCH($A107,CALC!$A$6:$A$143,0)),"",IF(INDEX(CALC!$H$6:$H$143,MATCH($A107,CALC!$A$6:$A$143,0))="","",INDEX(CALC!$H$6:$H$143,MATCH($A107,CALC!$A$6:$A$143,0)))))</f>
        <v/>
      </c>
      <c r="I107">
        <f>IF($E107="","",IF(OR($H107="",$F107=0,$F107=""),$E107,$G107*$E107+(1-$G107)*$H107))</f>
        <v/>
      </c>
      <c r="J107">
        <f>IF(OR($A107="",SETTINGS!$B$4="",SETTINGS!$B$4&lt;=1),"",IF(COUNTIFS(HISTORY!$A$6:$A$3005,SETTINGS!$B$4-1,HISTORY!$B$6:$B$3005,$A107)=1,SUMIFS(HISTORY!$C$6:$C$3005,HISTORY!$A$6:$A$3005,SETTINGS!$B$4-1,HISTORY!$B$6:$B$3005,$A107),""))</f>
        <v/>
      </c>
      <c r="K107">
        <f>IF($I107="","",IF(ISNUMBER($J107),$J107+MAX(-SETTINGS!$B$12,MIN(SETTINGS!$B$12,$I107-$J107)),$I107))</f>
        <v/>
      </c>
      <c r="O107">
        <f>IF($A107="","",IF(ISNUMBER($L107),$L107,IF($K107="","",$K107)))</f>
        <v/>
      </c>
      <c r="P107">
        <f>IF($A107="","",IF(ISNUMBER($L107),"OVERRIDE","MODEL"))</f>
        <v/>
      </c>
      <c r="Q107">
        <f>IF($A107="","",SETTINGS!$B$6)</f>
        <v/>
      </c>
      <c r="S107">
        <f>IF($A107="","",IF(ISNUMBER($R107),$R107,$Q107))</f>
        <v/>
      </c>
      <c r="W107">
        <f>IF($A107="","",SUMIFS(CLEAN!$AD$6:$AD$1005,CLEAN!$P$6:$P$1005,$A107)+SUMIFS(CLEAN!$AE$6:$AE$1005,CLEAN!$N$6:$N$1005,$A107))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MAP'!$C108)</f>
        <v/>
      </c>
      <c r="D108">
        <f>IF('TEAM MAP'!$A108="","",'TEAM MAP'!$E108)</f>
        <v/>
      </c>
      <c r="E108">
        <f>IF($A108="","",IF(ISNA(MATCH($A108,PRESEASON!$A$6:$A$143,0)),"",IF(INDEX(PRESEASON!$Z$6:$Z$143,MATCH($A108,PRESEASON!$A$6:$A$143,0))="","",INDEX(PRESEASON!$Z$6:$Z$143,MATCH($A108,PRESEASON!$A$6:$A$143,0)))))</f>
        <v/>
      </c>
      <c r="F108">
        <f>IF($A108="","",SUMIFS(CLEAN!$AB$6:$AB$1005,CLEAN!$P$6:$P$1005,$A108)+SUMIFS(CLEAN!$AC$6:$AC$1005,CLEAN!$N$6:$N$1005,$A108))</f>
        <v/>
      </c>
      <c r="G108">
        <f>IF(OR($A108="",$F108=""),"",IF(MIN($F108,9)&gt;=9,SETTINGS!$C$46,INDEX(SETTINGS!$C$37:$C$46,INT(MIN($F108,9))+1)+(MIN($F108,9)-INT(MIN($F108,9)))*(INDEX(SETTINGS!$C$37:$C$46,INT(MIN($F108,9))+2)-INDEX(SETTINGS!$C$37:$C$46,INT(MIN($F108,9))+1))))</f>
        <v/>
      </c>
      <c r="H108">
        <f>IF($A108="","",IF(ISNA(MATCH($A108,CALC!$A$6:$A$143,0)),"",IF(INDEX(CALC!$H$6:$H$143,MATCH($A108,CALC!$A$6:$A$143,0))="","",INDEX(CALC!$H$6:$H$143,MATCH($A108,CALC!$A$6:$A$143,0)))))</f>
        <v/>
      </c>
      <c r="I108">
        <f>IF($E108="","",IF(OR($H108="",$F108=0,$F108=""),$E108,$G108*$E108+(1-$G108)*$H108))</f>
        <v/>
      </c>
      <c r="J108">
        <f>IF(OR($A108="",SETTINGS!$B$4="",SETTINGS!$B$4&lt;=1),"",IF(COUNTIFS(HISTORY!$A$6:$A$3005,SETTINGS!$B$4-1,HISTORY!$B$6:$B$3005,$A108)=1,SUMIFS(HISTORY!$C$6:$C$3005,HISTORY!$A$6:$A$3005,SETTINGS!$B$4-1,HISTORY!$B$6:$B$3005,$A108),""))</f>
        <v/>
      </c>
      <c r="K108">
        <f>IF($I108="","",IF(ISNUMBER($J108),$J108+MAX(-SETTINGS!$B$12,MIN(SETTINGS!$B$12,$I108-$J108)),$I108))</f>
        <v/>
      </c>
      <c r="O108">
        <f>IF($A108="","",IF(ISNUMBER($L108),$L108,IF($K108="","",$K108)))</f>
        <v/>
      </c>
      <c r="P108">
        <f>IF($A108="","",IF(ISNUMBER($L108),"OVERRIDE","MODEL"))</f>
        <v/>
      </c>
      <c r="Q108">
        <f>IF($A108="","",SETTINGS!$B$6)</f>
        <v/>
      </c>
      <c r="S108">
        <f>IF($A108="","",IF(ISNUMBER($R108),$R108,$Q108))</f>
        <v/>
      </c>
      <c r="W108">
        <f>IF($A108="","",SUMIFS(CLEAN!$AD$6:$AD$1005,CLEAN!$P$6:$P$1005,$A108)+SUMIFS(CLEAN!$AE$6:$AE$1005,CLEAN!$N$6:$N$1005,$A108))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MAP'!$C109)</f>
        <v/>
      </c>
      <c r="D109">
        <f>IF('TEAM MAP'!$A109="","",'TEAM MAP'!$E109)</f>
        <v/>
      </c>
      <c r="E109">
        <f>IF($A109="","",IF(ISNA(MATCH($A109,PRESEASON!$A$6:$A$143,0)),"",IF(INDEX(PRESEASON!$Z$6:$Z$143,MATCH($A109,PRESEASON!$A$6:$A$143,0))="","",INDEX(PRESEASON!$Z$6:$Z$143,MATCH($A109,PRESEASON!$A$6:$A$143,0)))))</f>
        <v/>
      </c>
      <c r="F109">
        <f>IF($A109="","",SUMIFS(CLEAN!$AB$6:$AB$1005,CLEAN!$P$6:$P$1005,$A109)+SUMIFS(CLEAN!$AC$6:$AC$1005,CLEAN!$N$6:$N$1005,$A109))</f>
        <v/>
      </c>
      <c r="G109">
        <f>IF(OR($A109="",$F109=""),"",IF(MIN($F109,9)&gt;=9,SETTINGS!$C$46,INDEX(SETTINGS!$C$37:$C$46,INT(MIN($F109,9))+1)+(MIN($F109,9)-INT(MIN($F109,9)))*(INDEX(SETTINGS!$C$37:$C$46,INT(MIN($F109,9))+2)-INDEX(SETTINGS!$C$37:$C$46,INT(MIN($F109,9))+1))))</f>
        <v/>
      </c>
      <c r="H109">
        <f>IF($A109="","",IF(ISNA(MATCH($A109,CALC!$A$6:$A$143,0)),"",IF(INDEX(CALC!$H$6:$H$143,MATCH($A109,CALC!$A$6:$A$143,0))="","",INDEX(CALC!$H$6:$H$143,MATCH($A109,CALC!$A$6:$A$143,0)))))</f>
        <v/>
      </c>
      <c r="I109">
        <f>IF($E109="","",IF(OR($H109="",$F109=0,$F109=""),$E109,$G109*$E109+(1-$G109)*$H109))</f>
        <v/>
      </c>
      <c r="J109">
        <f>IF(OR($A109="",SETTINGS!$B$4="",SETTINGS!$B$4&lt;=1),"",IF(COUNTIFS(HISTORY!$A$6:$A$3005,SETTINGS!$B$4-1,HISTORY!$B$6:$B$3005,$A109)=1,SUMIFS(HISTORY!$C$6:$C$3005,HISTORY!$A$6:$A$3005,SETTINGS!$B$4-1,HISTORY!$B$6:$B$3005,$A109),""))</f>
        <v/>
      </c>
      <c r="K109">
        <f>IF($I109="","",IF(ISNUMBER($J109),$J109+MAX(-SETTINGS!$B$12,MIN(SETTINGS!$B$12,$I109-$J109)),$I109))</f>
        <v/>
      </c>
      <c r="O109">
        <f>IF($A109="","",IF(ISNUMBER($L109),$L109,IF($K109="","",$K109)))</f>
        <v/>
      </c>
      <c r="P109">
        <f>IF($A109="","",IF(ISNUMBER($L109),"OVERRIDE","MODEL"))</f>
        <v/>
      </c>
      <c r="Q109">
        <f>IF($A109="","",SETTINGS!$B$6)</f>
        <v/>
      </c>
      <c r="S109">
        <f>IF($A109="","",IF(ISNUMBER($R109),$R109,$Q109))</f>
        <v/>
      </c>
      <c r="W109">
        <f>IF($A109="","",SUMIFS(CLEAN!$AD$6:$AD$1005,CLEAN!$P$6:$P$1005,$A109)+SUMIFS(CLEAN!$AE$6:$AE$1005,CLEAN!$N$6:$N$1005,$A109))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MAP'!$C110)</f>
        <v/>
      </c>
      <c r="D110">
        <f>IF('TEAM MAP'!$A110="","",'TEAM MAP'!$E110)</f>
        <v/>
      </c>
      <c r="E110">
        <f>IF($A110="","",IF(ISNA(MATCH($A110,PRESEASON!$A$6:$A$143,0)),"",IF(INDEX(PRESEASON!$Z$6:$Z$143,MATCH($A110,PRESEASON!$A$6:$A$143,0))="","",INDEX(PRESEASON!$Z$6:$Z$143,MATCH($A110,PRESEASON!$A$6:$A$143,0)))))</f>
        <v/>
      </c>
      <c r="F110">
        <f>IF($A110="","",SUMIFS(CLEAN!$AB$6:$AB$1005,CLEAN!$P$6:$P$1005,$A110)+SUMIFS(CLEAN!$AC$6:$AC$1005,CLEAN!$N$6:$N$1005,$A110))</f>
        <v/>
      </c>
      <c r="G110">
        <f>IF(OR($A110="",$F110=""),"",IF(MIN($F110,9)&gt;=9,SETTINGS!$C$46,INDEX(SETTINGS!$C$37:$C$46,INT(MIN($F110,9))+1)+(MIN($F110,9)-INT(MIN($F110,9)))*(INDEX(SETTINGS!$C$37:$C$46,INT(MIN($F110,9))+2)-INDEX(SETTINGS!$C$37:$C$46,INT(MIN($F110,9))+1))))</f>
        <v/>
      </c>
      <c r="H110">
        <f>IF($A110="","",IF(ISNA(MATCH($A110,CALC!$A$6:$A$143,0)),"",IF(INDEX(CALC!$H$6:$H$143,MATCH($A110,CALC!$A$6:$A$143,0))="","",INDEX(CALC!$H$6:$H$143,MATCH($A110,CALC!$A$6:$A$143,0)))))</f>
        <v/>
      </c>
      <c r="I110">
        <f>IF($E110="","",IF(OR($H110="",$F110=0,$F110=""),$E110,$G110*$E110+(1-$G110)*$H110))</f>
        <v/>
      </c>
      <c r="J110">
        <f>IF(OR($A110="",SETTINGS!$B$4="",SETTINGS!$B$4&lt;=1),"",IF(COUNTIFS(HISTORY!$A$6:$A$3005,SETTINGS!$B$4-1,HISTORY!$B$6:$B$3005,$A110)=1,SUMIFS(HISTORY!$C$6:$C$3005,HISTORY!$A$6:$A$3005,SETTINGS!$B$4-1,HISTORY!$B$6:$B$3005,$A110),""))</f>
        <v/>
      </c>
      <c r="K110">
        <f>IF($I110="","",IF(ISNUMBER($J110),$J110+MAX(-SETTINGS!$B$12,MIN(SETTINGS!$B$12,$I110-$J110)),$I110))</f>
        <v/>
      </c>
      <c r="O110">
        <f>IF($A110="","",IF(ISNUMBER($L110),$L110,IF($K110="","",$K110)))</f>
        <v/>
      </c>
      <c r="P110">
        <f>IF($A110="","",IF(ISNUMBER($L110),"OVERRIDE","MODEL"))</f>
        <v/>
      </c>
      <c r="Q110">
        <f>IF($A110="","",SETTINGS!$B$6)</f>
        <v/>
      </c>
      <c r="S110">
        <f>IF($A110="","",IF(ISNUMBER($R110),$R110,$Q110))</f>
        <v/>
      </c>
      <c r="W110">
        <f>IF($A110="","",SUMIFS(CLEAN!$AD$6:$AD$1005,CLEAN!$P$6:$P$1005,$A110)+SUMIFS(CLEAN!$AE$6:$AE$1005,CLEAN!$N$6:$N$1005,$A110))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MAP'!$C111)</f>
        <v/>
      </c>
      <c r="D111">
        <f>IF('TEAM MAP'!$A111="","",'TEAM MAP'!$E111)</f>
        <v/>
      </c>
      <c r="E111">
        <f>IF($A111="","",IF(ISNA(MATCH($A111,PRESEASON!$A$6:$A$143,0)),"",IF(INDEX(PRESEASON!$Z$6:$Z$143,MATCH($A111,PRESEASON!$A$6:$A$143,0))="","",INDEX(PRESEASON!$Z$6:$Z$143,MATCH($A111,PRESEASON!$A$6:$A$143,0)))))</f>
        <v/>
      </c>
      <c r="F111">
        <f>IF($A111="","",SUMIFS(CLEAN!$AB$6:$AB$1005,CLEAN!$P$6:$P$1005,$A111)+SUMIFS(CLEAN!$AC$6:$AC$1005,CLEAN!$N$6:$N$1005,$A111))</f>
        <v/>
      </c>
      <c r="G111">
        <f>IF(OR($A111="",$F111=""),"",IF(MIN($F111,9)&gt;=9,SETTINGS!$C$46,INDEX(SETTINGS!$C$37:$C$46,INT(MIN($F111,9))+1)+(MIN($F111,9)-INT(MIN($F111,9)))*(INDEX(SETTINGS!$C$37:$C$46,INT(MIN($F111,9))+2)-INDEX(SETTINGS!$C$37:$C$46,INT(MIN($F111,9))+1))))</f>
        <v/>
      </c>
      <c r="H111">
        <f>IF($A111="","",IF(ISNA(MATCH($A111,CALC!$A$6:$A$143,0)),"",IF(INDEX(CALC!$H$6:$H$143,MATCH($A111,CALC!$A$6:$A$143,0))="","",INDEX(CALC!$H$6:$H$143,MATCH($A111,CALC!$A$6:$A$143,0)))))</f>
        <v/>
      </c>
      <c r="I111">
        <f>IF($E111="","",IF(OR($H111="",$F111=0,$F111=""),$E111,$G111*$E111+(1-$G111)*$H111))</f>
        <v/>
      </c>
      <c r="J111">
        <f>IF(OR($A111="",SETTINGS!$B$4="",SETTINGS!$B$4&lt;=1),"",IF(COUNTIFS(HISTORY!$A$6:$A$3005,SETTINGS!$B$4-1,HISTORY!$B$6:$B$3005,$A111)=1,SUMIFS(HISTORY!$C$6:$C$3005,HISTORY!$A$6:$A$3005,SETTINGS!$B$4-1,HISTORY!$B$6:$B$3005,$A111),""))</f>
        <v/>
      </c>
      <c r="K111">
        <f>IF($I111="","",IF(ISNUMBER($J111),$J111+MAX(-SETTINGS!$B$12,MIN(SETTINGS!$B$12,$I111-$J111)),$I111))</f>
        <v/>
      </c>
      <c r="O111">
        <f>IF($A111="","",IF(ISNUMBER($L111),$L111,IF($K111="","",$K111)))</f>
        <v/>
      </c>
      <c r="P111">
        <f>IF($A111="","",IF(ISNUMBER($L111),"OVERRIDE","MODEL"))</f>
        <v/>
      </c>
      <c r="Q111">
        <f>IF($A111="","",SETTINGS!$B$6)</f>
        <v/>
      </c>
      <c r="S111">
        <f>IF($A111="","",IF(ISNUMBER($R111),$R111,$Q111))</f>
        <v/>
      </c>
      <c r="W111">
        <f>IF($A111="","",SUMIFS(CLEAN!$AD$6:$AD$1005,CLEAN!$P$6:$P$1005,$A111)+SUMIFS(CLEAN!$AE$6:$AE$1005,CLEAN!$N$6:$N$1005,$A111))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MAP'!$C112)</f>
        <v/>
      </c>
      <c r="D112">
        <f>IF('TEAM MAP'!$A112="","",'TEAM MAP'!$E112)</f>
        <v/>
      </c>
      <c r="E112">
        <f>IF($A112="","",IF(ISNA(MATCH($A112,PRESEASON!$A$6:$A$143,0)),"",IF(INDEX(PRESEASON!$Z$6:$Z$143,MATCH($A112,PRESEASON!$A$6:$A$143,0))="","",INDEX(PRESEASON!$Z$6:$Z$143,MATCH($A112,PRESEASON!$A$6:$A$143,0)))))</f>
        <v/>
      </c>
      <c r="F112">
        <f>IF($A112="","",SUMIFS(CLEAN!$AB$6:$AB$1005,CLEAN!$P$6:$P$1005,$A112)+SUMIFS(CLEAN!$AC$6:$AC$1005,CLEAN!$N$6:$N$1005,$A112))</f>
        <v/>
      </c>
      <c r="G112">
        <f>IF(OR($A112="",$F112=""),"",IF(MIN($F112,9)&gt;=9,SETTINGS!$C$46,INDEX(SETTINGS!$C$37:$C$46,INT(MIN($F112,9))+1)+(MIN($F112,9)-INT(MIN($F112,9)))*(INDEX(SETTINGS!$C$37:$C$46,INT(MIN($F112,9))+2)-INDEX(SETTINGS!$C$37:$C$46,INT(MIN($F112,9))+1))))</f>
        <v/>
      </c>
      <c r="H112">
        <f>IF($A112="","",IF(ISNA(MATCH($A112,CALC!$A$6:$A$143,0)),"",IF(INDEX(CALC!$H$6:$H$143,MATCH($A112,CALC!$A$6:$A$143,0))="","",INDEX(CALC!$H$6:$H$143,MATCH($A112,CALC!$A$6:$A$143,0)))))</f>
        <v/>
      </c>
      <c r="I112">
        <f>IF($E112="","",IF(OR($H112="",$F112=0,$F112=""),$E112,$G112*$E112+(1-$G112)*$H112))</f>
        <v/>
      </c>
      <c r="J112">
        <f>IF(OR($A112="",SETTINGS!$B$4="",SETTINGS!$B$4&lt;=1),"",IF(COUNTIFS(HISTORY!$A$6:$A$3005,SETTINGS!$B$4-1,HISTORY!$B$6:$B$3005,$A112)=1,SUMIFS(HISTORY!$C$6:$C$3005,HISTORY!$A$6:$A$3005,SETTINGS!$B$4-1,HISTORY!$B$6:$B$3005,$A112),""))</f>
        <v/>
      </c>
      <c r="K112">
        <f>IF($I112="","",IF(ISNUMBER($J112),$J112+MAX(-SETTINGS!$B$12,MIN(SETTINGS!$B$12,$I112-$J112)),$I112))</f>
        <v/>
      </c>
      <c r="O112">
        <f>IF($A112="","",IF(ISNUMBER($L112),$L112,IF($K112="","",$K112)))</f>
        <v/>
      </c>
      <c r="P112">
        <f>IF($A112="","",IF(ISNUMBER($L112),"OVERRIDE","MODEL"))</f>
        <v/>
      </c>
      <c r="Q112">
        <f>IF($A112="","",SETTINGS!$B$6)</f>
        <v/>
      </c>
      <c r="S112">
        <f>IF($A112="","",IF(ISNUMBER($R112),$R112,$Q112))</f>
        <v/>
      </c>
      <c r="W112">
        <f>IF($A112="","",SUMIFS(CLEAN!$AD$6:$AD$1005,CLEAN!$P$6:$P$1005,$A112)+SUMIFS(CLEAN!$AE$6:$AE$1005,CLEAN!$N$6:$N$1005,$A112))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MAP'!$C113)</f>
        <v/>
      </c>
      <c r="D113">
        <f>IF('TEAM MAP'!$A113="","",'TEAM MAP'!$E113)</f>
        <v/>
      </c>
      <c r="E113">
        <f>IF($A113="","",IF(ISNA(MATCH($A113,PRESEASON!$A$6:$A$143,0)),"",IF(INDEX(PRESEASON!$Z$6:$Z$143,MATCH($A113,PRESEASON!$A$6:$A$143,0))="","",INDEX(PRESEASON!$Z$6:$Z$143,MATCH($A113,PRESEASON!$A$6:$A$143,0)))))</f>
        <v/>
      </c>
      <c r="F113">
        <f>IF($A113="","",SUMIFS(CLEAN!$AB$6:$AB$1005,CLEAN!$P$6:$P$1005,$A113)+SUMIFS(CLEAN!$AC$6:$AC$1005,CLEAN!$N$6:$N$1005,$A113))</f>
        <v/>
      </c>
      <c r="G113">
        <f>IF(OR($A113="",$F113=""),"",IF(MIN($F113,9)&gt;=9,SETTINGS!$C$46,INDEX(SETTINGS!$C$37:$C$46,INT(MIN($F113,9))+1)+(MIN($F113,9)-INT(MIN($F113,9)))*(INDEX(SETTINGS!$C$37:$C$46,INT(MIN($F113,9))+2)-INDEX(SETTINGS!$C$37:$C$46,INT(MIN($F113,9))+1))))</f>
        <v/>
      </c>
      <c r="H113">
        <f>IF($A113="","",IF(ISNA(MATCH($A113,CALC!$A$6:$A$143,0)),"",IF(INDEX(CALC!$H$6:$H$143,MATCH($A113,CALC!$A$6:$A$143,0))="","",INDEX(CALC!$H$6:$H$143,MATCH($A113,CALC!$A$6:$A$143,0)))))</f>
        <v/>
      </c>
      <c r="I113">
        <f>IF($E113="","",IF(OR($H113="",$F113=0,$F113=""),$E113,$G113*$E113+(1-$G113)*$H113))</f>
        <v/>
      </c>
      <c r="J113">
        <f>IF(OR($A113="",SETTINGS!$B$4="",SETTINGS!$B$4&lt;=1),"",IF(COUNTIFS(HISTORY!$A$6:$A$3005,SETTINGS!$B$4-1,HISTORY!$B$6:$B$3005,$A113)=1,SUMIFS(HISTORY!$C$6:$C$3005,HISTORY!$A$6:$A$3005,SETTINGS!$B$4-1,HISTORY!$B$6:$B$3005,$A113),""))</f>
        <v/>
      </c>
      <c r="K113">
        <f>IF($I113="","",IF(ISNUMBER($J113),$J113+MAX(-SETTINGS!$B$12,MIN(SETTINGS!$B$12,$I113-$J113)),$I113))</f>
        <v/>
      </c>
      <c r="O113">
        <f>IF($A113="","",IF(ISNUMBER($L113),$L113,IF($K113="","",$K113)))</f>
        <v/>
      </c>
      <c r="P113">
        <f>IF($A113="","",IF(ISNUMBER($L113),"OVERRIDE","MODEL"))</f>
        <v/>
      </c>
      <c r="Q113">
        <f>IF($A113="","",SETTINGS!$B$6)</f>
        <v/>
      </c>
      <c r="S113">
        <f>IF($A113="","",IF(ISNUMBER($R113),$R113,$Q113))</f>
        <v/>
      </c>
      <c r="W113">
        <f>IF($A113="","",SUMIFS(CLEAN!$AD$6:$AD$1005,CLEAN!$P$6:$P$1005,$A113)+SUMIFS(CLEAN!$AE$6:$AE$1005,CLEAN!$N$6:$N$1005,$A113))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MAP'!$C114)</f>
        <v/>
      </c>
      <c r="D114">
        <f>IF('TEAM MAP'!$A114="","",'TEAM MAP'!$E114)</f>
        <v/>
      </c>
      <c r="E114">
        <f>IF($A114="","",IF(ISNA(MATCH($A114,PRESEASON!$A$6:$A$143,0)),"",IF(INDEX(PRESEASON!$Z$6:$Z$143,MATCH($A114,PRESEASON!$A$6:$A$143,0))="","",INDEX(PRESEASON!$Z$6:$Z$143,MATCH($A114,PRESEASON!$A$6:$A$143,0)))))</f>
        <v/>
      </c>
      <c r="F114">
        <f>IF($A114="","",SUMIFS(CLEAN!$AB$6:$AB$1005,CLEAN!$P$6:$P$1005,$A114)+SUMIFS(CLEAN!$AC$6:$AC$1005,CLEAN!$N$6:$N$1005,$A114))</f>
        <v/>
      </c>
      <c r="G114">
        <f>IF(OR($A114="",$F114=""),"",IF(MIN($F114,9)&gt;=9,SETTINGS!$C$46,INDEX(SETTINGS!$C$37:$C$46,INT(MIN($F114,9))+1)+(MIN($F114,9)-INT(MIN($F114,9)))*(INDEX(SETTINGS!$C$37:$C$46,INT(MIN($F114,9))+2)-INDEX(SETTINGS!$C$37:$C$46,INT(MIN($F114,9))+1))))</f>
        <v/>
      </c>
      <c r="H114">
        <f>IF($A114="","",IF(ISNA(MATCH($A114,CALC!$A$6:$A$143,0)),"",IF(INDEX(CALC!$H$6:$H$143,MATCH($A114,CALC!$A$6:$A$143,0))="","",INDEX(CALC!$H$6:$H$143,MATCH($A114,CALC!$A$6:$A$143,0)))))</f>
        <v/>
      </c>
      <c r="I114">
        <f>IF($E114="","",IF(OR($H114="",$F114=0,$F114=""),$E114,$G114*$E114+(1-$G114)*$H114))</f>
        <v/>
      </c>
      <c r="J114">
        <f>IF(OR($A114="",SETTINGS!$B$4="",SETTINGS!$B$4&lt;=1),"",IF(COUNTIFS(HISTORY!$A$6:$A$3005,SETTINGS!$B$4-1,HISTORY!$B$6:$B$3005,$A114)=1,SUMIFS(HISTORY!$C$6:$C$3005,HISTORY!$A$6:$A$3005,SETTINGS!$B$4-1,HISTORY!$B$6:$B$3005,$A114),""))</f>
        <v/>
      </c>
      <c r="K114">
        <f>IF($I114="","",IF(ISNUMBER($J114),$J114+MAX(-SETTINGS!$B$12,MIN(SETTINGS!$B$12,$I114-$J114)),$I114))</f>
        <v/>
      </c>
      <c r="O114">
        <f>IF($A114="","",IF(ISNUMBER($L114),$L114,IF($K114="","",$K114)))</f>
        <v/>
      </c>
      <c r="P114">
        <f>IF($A114="","",IF(ISNUMBER($L114),"OVERRIDE","MODEL"))</f>
        <v/>
      </c>
      <c r="Q114">
        <f>IF($A114="","",SETTINGS!$B$6)</f>
        <v/>
      </c>
      <c r="S114">
        <f>IF($A114="","",IF(ISNUMBER($R114),$R114,$Q114))</f>
        <v/>
      </c>
      <c r="W114">
        <f>IF($A114="","",SUMIFS(CLEAN!$AD$6:$AD$1005,CLEAN!$P$6:$P$1005,$A114)+SUMIFS(CLEAN!$AE$6:$AE$1005,CLEAN!$N$6:$N$1005,$A114))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MAP'!$C115)</f>
        <v/>
      </c>
      <c r="D115">
        <f>IF('TEAM MAP'!$A115="","",'TEAM MAP'!$E115)</f>
        <v/>
      </c>
      <c r="E115">
        <f>IF($A115="","",IF(ISNA(MATCH($A115,PRESEASON!$A$6:$A$143,0)),"",IF(INDEX(PRESEASON!$Z$6:$Z$143,MATCH($A115,PRESEASON!$A$6:$A$143,0))="","",INDEX(PRESEASON!$Z$6:$Z$143,MATCH($A115,PRESEASON!$A$6:$A$143,0)))))</f>
        <v/>
      </c>
      <c r="F115">
        <f>IF($A115="","",SUMIFS(CLEAN!$AB$6:$AB$1005,CLEAN!$P$6:$P$1005,$A115)+SUMIFS(CLEAN!$AC$6:$AC$1005,CLEAN!$N$6:$N$1005,$A115))</f>
        <v/>
      </c>
      <c r="G115">
        <f>IF(OR($A115="",$F115=""),"",IF(MIN($F115,9)&gt;=9,SETTINGS!$C$46,INDEX(SETTINGS!$C$37:$C$46,INT(MIN($F115,9))+1)+(MIN($F115,9)-INT(MIN($F115,9)))*(INDEX(SETTINGS!$C$37:$C$46,INT(MIN($F115,9))+2)-INDEX(SETTINGS!$C$37:$C$46,INT(MIN($F115,9))+1))))</f>
        <v/>
      </c>
      <c r="H115">
        <f>IF($A115="","",IF(ISNA(MATCH($A115,CALC!$A$6:$A$143,0)),"",IF(INDEX(CALC!$H$6:$H$143,MATCH($A115,CALC!$A$6:$A$143,0))="","",INDEX(CALC!$H$6:$H$143,MATCH($A115,CALC!$A$6:$A$143,0)))))</f>
        <v/>
      </c>
      <c r="I115">
        <f>IF($E115="","",IF(OR($H115="",$F115=0,$F115=""),$E115,$G115*$E115+(1-$G115)*$H115))</f>
        <v/>
      </c>
      <c r="J115">
        <f>IF(OR($A115="",SETTINGS!$B$4="",SETTINGS!$B$4&lt;=1),"",IF(COUNTIFS(HISTORY!$A$6:$A$3005,SETTINGS!$B$4-1,HISTORY!$B$6:$B$3005,$A115)=1,SUMIFS(HISTORY!$C$6:$C$3005,HISTORY!$A$6:$A$3005,SETTINGS!$B$4-1,HISTORY!$B$6:$B$3005,$A115),""))</f>
        <v/>
      </c>
      <c r="K115">
        <f>IF($I115="","",IF(ISNUMBER($J115),$J115+MAX(-SETTINGS!$B$12,MIN(SETTINGS!$B$12,$I115-$J115)),$I115))</f>
        <v/>
      </c>
      <c r="O115">
        <f>IF($A115="","",IF(ISNUMBER($L115),$L115,IF($K115="","",$K115)))</f>
        <v/>
      </c>
      <c r="P115">
        <f>IF($A115="","",IF(ISNUMBER($L115),"OVERRIDE","MODEL"))</f>
        <v/>
      </c>
      <c r="Q115">
        <f>IF($A115="","",SETTINGS!$B$6)</f>
        <v/>
      </c>
      <c r="S115">
        <f>IF($A115="","",IF(ISNUMBER($R115),$R115,$Q115))</f>
        <v/>
      </c>
      <c r="W115">
        <f>IF($A115="","",SUMIFS(CLEAN!$AD$6:$AD$1005,CLEAN!$P$6:$P$1005,$A115)+SUMIFS(CLEAN!$AE$6:$AE$1005,CLEAN!$N$6:$N$1005,$A115))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MAP'!$C116)</f>
        <v/>
      </c>
      <c r="D116">
        <f>IF('TEAM MAP'!$A116="","",'TEAM MAP'!$E116)</f>
        <v/>
      </c>
      <c r="E116">
        <f>IF($A116="","",IF(ISNA(MATCH($A116,PRESEASON!$A$6:$A$143,0)),"",IF(INDEX(PRESEASON!$Z$6:$Z$143,MATCH($A116,PRESEASON!$A$6:$A$143,0))="","",INDEX(PRESEASON!$Z$6:$Z$143,MATCH($A116,PRESEASON!$A$6:$A$143,0)))))</f>
        <v/>
      </c>
      <c r="F116">
        <f>IF($A116="","",SUMIFS(CLEAN!$AB$6:$AB$1005,CLEAN!$P$6:$P$1005,$A116)+SUMIFS(CLEAN!$AC$6:$AC$1005,CLEAN!$N$6:$N$1005,$A116))</f>
        <v/>
      </c>
      <c r="G116">
        <f>IF(OR($A116="",$F116=""),"",IF(MIN($F116,9)&gt;=9,SETTINGS!$C$46,INDEX(SETTINGS!$C$37:$C$46,INT(MIN($F116,9))+1)+(MIN($F116,9)-INT(MIN($F116,9)))*(INDEX(SETTINGS!$C$37:$C$46,INT(MIN($F116,9))+2)-INDEX(SETTINGS!$C$37:$C$46,INT(MIN($F116,9))+1))))</f>
        <v/>
      </c>
      <c r="H116">
        <f>IF($A116="","",IF(ISNA(MATCH($A116,CALC!$A$6:$A$143,0)),"",IF(INDEX(CALC!$H$6:$H$143,MATCH($A116,CALC!$A$6:$A$143,0))="","",INDEX(CALC!$H$6:$H$143,MATCH($A116,CALC!$A$6:$A$143,0)))))</f>
        <v/>
      </c>
      <c r="I116">
        <f>IF($E116="","",IF(OR($H116="",$F116=0,$F116=""),$E116,$G116*$E116+(1-$G116)*$H116))</f>
        <v/>
      </c>
      <c r="J116">
        <f>IF(OR($A116="",SETTINGS!$B$4="",SETTINGS!$B$4&lt;=1),"",IF(COUNTIFS(HISTORY!$A$6:$A$3005,SETTINGS!$B$4-1,HISTORY!$B$6:$B$3005,$A116)=1,SUMIFS(HISTORY!$C$6:$C$3005,HISTORY!$A$6:$A$3005,SETTINGS!$B$4-1,HISTORY!$B$6:$B$3005,$A116),""))</f>
        <v/>
      </c>
      <c r="K116">
        <f>IF($I116="","",IF(ISNUMBER($J116),$J116+MAX(-SETTINGS!$B$12,MIN(SETTINGS!$B$12,$I116-$J116)),$I116))</f>
        <v/>
      </c>
      <c r="O116">
        <f>IF($A116="","",IF(ISNUMBER($L116),$L116,IF($K116="","",$K116)))</f>
        <v/>
      </c>
      <c r="P116">
        <f>IF($A116="","",IF(ISNUMBER($L116),"OVERRIDE","MODEL"))</f>
        <v/>
      </c>
      <c r="Q116">
        <f>IF($A116="","",SETTINGS!$B$6)</f>
        <v/>
      </c>
      <c r="S116">
        <f>IF($A116="","",IF(ISNUMBER($R116),$R116,$Q116))</f>
        <v/>
      </c>
      <c r="W116">
        <f>IF($A116="","",SUMIFS(CLEAN!$AD$6:$AD$1005,CLEAN!$P$6:$P$1005,$A116)+SUMIFS(CLEAN!$AE$6:$AE$1005,CLEAN!$N$6:$N$1005,$A116))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MAP'!$C117)</f>
        <v/>
      </c>
      <c r="D117">
        <f>IF('TEAM MAP'!$A117="","",'TEAM MAP'!$E117)</f>
        <v/>
      </c>
      <c r="E117">
        <f>IF($A117="","",IF(ISNA(MATCH($A117,PRESEASON!$A$6:$A$143,0)),"",IF(INDEX(PRESEASON!$Z$6:$Z$143,MATCH($A117,PRESEASON!$A$6:$A$143,0))="","",INDEX(PRESEASON!$Z$6:$Z$143,MATCH($A117,PRESEASON!$A$6:$A$143,0)))))</f>
        <v/>
      </c>
      <c r="F117">
        <f>IF($A117="","",SUMIFS(CLEAN!$AB$6:$AB$1005,CLEAN!$P$6:$P$1005,$A117)+SUMIFS(CLEAN!$AC$6:$AC$1005,CLEAN!$N$6:$N$1005,$A117))</f>
        <v/>
      </c>
      <c r="G117">
        <f>IF(OR($A117="",$F117=""),"",IF(MIN($F117,9)&gt;=9,SETTINGS!$C$46,INDEX(SETTINGS!$C$37:$C$46,INT(MIN($F117,9))+1)+(MIN($F117,9)-INT(MIN($F117,9)))*(INDEX(SETTINGS!$C$37:$C$46,INT(MIN($F117,9))+2)-INDEX(SETTINGS!$C$37:$C$46,INT(MIN($F117,9))+1))))</f>
        <v/>
      </c>
      <c r="H117">
        <f>IF($A117="","",IF(ISNA(MATCH($A117,CALC!$A$6:$A$143,0)),"",IF(INDEX(CALC!$H$6:$H$143,MATCH($A117,CALC!$A$6:$A$143,0))="","",INDEX(CALC!$H$6:$H$143,MATCH($A117,CALC!$A$6:$A$143,0)))))</f>
        <v/>
      </c>
      <c r="I117">
        <f>IF($E117="","",IF(OR($H117="",$F117=0,$F117=""),$E117,$G117*$E117+(1-$G117)*$H117))</f>
        <v/>
      </c>
      <c r="J117">
        <f>IF(OR($A117="",SETTINGS!$B$4="",SETTINGS!$B$4&lt;=1),"",IF(COUNTIFS(HISTORY!$A$6:$A$3005,SETTINGS!$B$4-1,HISTORY!$B$6:$B$3005,$A117)=1,SUMIFS(HISTORY!$C$6:$C$3005,HISTORY!$A$6:$A$3005,SETTINGS!$B$4-1,HISTORY!$B$6:$B$3005,$A117),""))</f>
        <v/>
      </c>
      <c r="K117">
        <f>IF($I117="","",IF(ISNUMBER($J117),$J117+MAX(-SETTINGS!$B$12,MIN(SETTINGS!$B$12,$I117-$J117)),$I117))</f>
        <v/>
      </c>
      <c r="O117">
        <f>IF($A117="","",IF(ISNUMBER($L117),$L117,IF($K117="","",$K117)))</f>
        <v/>
      </c>
      <c r="P117">
        <f>IF($A117="","",IF(ISNUMBER($L117),"OVERRIDE","MODEL"))</f>
        <v/>
      </c>
      <c r="Q117">
        <f>IF($A117="","",SETTINGS!$B$6)</f>
        <v/>
      </c>
      <c r="S117">
        <f>IF($A117="","",IF(ISNUMBER($R117),$R117,$Q117))</f>
        <v/>
      </c>
      <c r="W117">
        <f>IF($A117="","",SUMIFS(CLEAN!$AD$6:$AD$1005,CLEAN!$P$6:$P$1005,$A117)+SUMIFS(CLEAN!$AE$6:$AE$1005,CLEAN!$N$6:$N$1005,$A117))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MAP'!$C118)</f>
        <v/>
      </c>
      <c r="D118">
        <f>IF('TEAM MAP'!$A118="","",'TEAM MAP'!$E118)</f>
        <v/>
      </c>
      <c r="E118">
        <f>IF($A118="","",IF(ISNA(MATCH($A118,PRESEASON!$A$6:$A$143,0)),"",IF(INDEX(PRESEASON!$Z$6:$Z$143,MATCH($A118,PRESEASON!$A$6:$A$143,0))="","",INDEX(PRESEASON!$Z$6:$Z$143,MATCH($A118,PRESEASON!$A$6:$A$143,0)))))</f>
        <v/>
      </c>
      <c r="F118">
        <f>IF($A118="","",SUMIFS(CLEAN!$AB$6:$AB$1005,CLEAN!$P$6:$P$1005,$A118)+SUMIFS(CLEAN!$AC$6:$AC$1005,CLEAN!$N$6:$N$1005,$A118))</f>
        <v/>
      </c>
      <c r="G118">
        <f>IF(OR($A118="",$F118=""),"",IF(MIN($F118,9)&gt;=9,SETTINGS!$C$46,INDEX(SETTINGS!$C$37:$C$46,INT(MIN($F118,9))+1)+(MIN($F118,9)-INT(MIN($F118,9)))*(INDEX(SETTINGS!$C$37:$C$46,INT(MIN($F118,9))+2)-INDEX(SETTINGS!$C$37:$C$46,INT(MIN($F118,9))+1))))</f>
        <v/>
      </c>
      <c r="H118">
        <f>IF($A118="","",IF(ISNA(MATCH($A118,CALC!$A$6:$A$143,0)),"",IF(INDEX(CALC!$H$6:$H$143,MATCH($A118,CALC!$A$6:$A$143,0))="","",INDEX(CALC!$H$6:$H$143,MATCH($A118,CALC!$A$6:$A$143,0)))))</f>
        <v/>
      </c>
      <c r="I118">
        <f>IF($E118="","",IF(OR($H118="",$F118=0,$F118=""),$E118,$G118*$E118+(1-$G118)*$H118))</f>
        <v/>
      </c>
      <c r="J118">
        <f>IF(OR($A118="",SETTINGS!$B$4="",SETTINGS!$B$4&lt;=1),"",IF(COUNTIFS(HISTORY!$A$6:$A$3005,SETTINGS!$B$4-1,HISTORY!$B$6:$B$3005,$A118)=1,SUMIFS(HISTORY!$C$6:$C$3005,HISTORY!$A$6:$A$3005,SETTINGS!$B$4-1,HISTORY!$B$6:$B$3005,$A118),""))</f>
        <v/>
      </c>
      <c r="K118">
        <f>IF($I118="","",IF(ISNUMBER($J118),$J118+MAX(-SETTINGS!$B$12,MIN(SETTINGS!$B$12,$I118-$J118)),$I118))</f>
        <v/>
      </c>
      <c r="O118">
        <f>IF($A118="","",IF(ISNUMBER($L118),$L118,IF($K118="","",$K118)))</f>
        <v/>
      </c>
      <c r="P118">
        <f>IF($A118="","",IF(ISNUMBER($L118),"OVERRIDE","MODEL"))</f>
        <v/>
      </c>
      <c r="Q118">
        <f>IF($A118="","",SETTINGS!$B$6)</f>
        <v/>
      </c>
      <c r="S118">
        <f>IF($A118="","",IF(ISNUMBER($R118),$R118,$Q118))</f>
        <v/>
      </c>
      <c r="W118">
        <f>IF($A118="","",SUMIFS(CLEAN!$AD$6:$AD$1005,CLEAN!$P$6:$P$1005,$A118)+SUMIFS(CLEAN!$AE$6:$AE$1005,CLEAN!$N$6:$N$1005,$A118))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MAP'!$C119)</f>
        <v/>
      </c>
      <c r="D119">
        <f>IF('TEAM MAP'!$A119="","",'TEAM MAP'!$E119)</f>
        <v/>
      </c>
      <c r="E119">
        <f>IF($A119="","",IF(ISNA(MATCH($A119,PRESEASON!$A$6:$A$143,0)),"",IF(INDEX(PRESEASON!$Z$6:$Z$143,MATCH($A119,PRESEASON!$A$6:$A$143,0))="","",INDEX(PRESEASON!$Z$6:$Z$143,MATCH($A119,PRESEASON!$A$6:$A$143,0)))))</f>
        <v/>
      </c>
      <c r="F119">
        <f>IF($A119="","",SUMIFS(CLEAN!$AB$6:$AB$1005,CLEAN!$P$6:$P$1005,$A119)+SUMIFS(CLEAN!$AC$6:$AC$1005,CLEAN!$N$6:$N$1005,$A119))</f>
        <v/>
      </c>
      <c r="G119">
        <f>IF(OR($A119="",$F119=""),"",IF(MIN($F119,9)&gt;=9,SETTINGS!$C$46,INDEX(SETTINGS!$C$37:$C$46,INT(MIN($F119,9))+1)+(MIN($F119,9)-INT(MIN($F119,9)))*(INDEX(SETTINGS!$C$37:$C$46,INT(MIN($F119,9))+2)-INDEX(SETTINGS!$C$37:$C$46,INT(MIN($F119,9))+1))))</f>
        <v/>
      </c>
      <c r="H119">
        <f>IF($A119="","",IF(ISNA(MATCH($A119,CALC!$A$6:$A$143,0)),"",IF(INDEX(CALC!$H$6:$H$143,MATCH($A119,CALC!$A$6:$A$143,0))="","",INDEX(CALC!$H$6:$H$143,MATCH($A119,CALC!$A$6:$A$143,0)))))</f>
        <v/>
      </c>
      <c r="I119">
        <f>IF($E119="","",IF(OR($H119="",$F119=0,$F119=""),$E119,$G119*$E119+(1-$G119)*$H119))</f>
        <v/>
      </c>
      <c r="J119">
        <f>IF(OR($A119="",SETTINGS!$B$4="",SETTINGS!$B$4&lt;=1),"",IF(COUNTIFS(HISTORY!$A$6:$A$3005,SETTINGS!$B$4-1,HISTORY!$B$6:$B$3005,$A119)=1,SUMIFS(HISTORY!$C$6:$C$3005,HISTORY!$A$6:$A$3005,SETTINGS!$B$4-1,HISTORY!$B$6:$B$3005,$A119),""))</f>
        <v/>
      </c>
      <c r="K119">
        <f>IF($I119="","",IF(ISNUMBER($J119),$J119+MAX(-SETTINGS!$B$12,MIN(SETTINGS!$B$12,$I119-$J119)),$I119))</f>
        <v/>
      </c>
      <c r="O119">
        <f>IF($A119="","",IF(ISNUMBER($L119),$L119,IF($K119="","",$K119)))</f>
        <v/>
      </c>
      <c r="P119">
        <f>IF($A119="","",IF(ISNUMBER($L119),"OVERRIDE","MODEL"))</f>
        <v/>
      </c>
      <c r="Q119">
        <f>IF($A119="","",SETTINGS!$B$6)</f>
        <v/>
      </c>
      <c r="S119">
        <f>IF($A119="","",IF(ISNUMBER($R119),$R119,$Q119))</f>
        <v/>
      </c>
      <c r="W119">
        <f>IF($A119="","",SUMIFS(CLEAN!$AD$6:$AD$1005,CLEAN!$P$6:$P$1005,$A119)+SUMIFS(CLEAN!$AE$6:$AE$1005,CLEAN!$N$6:$N$1005,$A119))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MAP'!$C120)</f>
        <v/>
      </c>
      <c r="D120">
        <f>IF('TEAM MAP'!$A120="","",'TEAM MAP'!$E120)</f>
        <v/>
      </c>
      <c r="E120">
        <f>IF($A120="","",IF(ISNA(MATCH($A120,PRESEASON!$A$6:$A$143,0)),"",IF(INDEX(PRESEASON!$Z$6:$Z$143,MATCH($A120,PRESEASON!$A$6:$A$143,0))="","",INDEX(PRESEASON!$Z$6:$Z$143,MATCH($A120,PRESEASON!$A$6:$A$143,0)))))</f>
        <v/>
      </c>
      <c r="F120">
        <f>IF($A120="","",SUMIFS(CLEAN!$AB$6:$AB$1005,CLEAN!$P$6:$P$1005,$A120)+SUMIFS(CLEAN!$AC$6:$AC$1005,CLEAN!$N$6:$N$1005,$A120))</f>
        <v/>
      </c>
      <c r="G120">
        <f>IF(OR($A120="",$F120=""),"",IF(MIN($F120,9)&gt;=9,SETTINGS!$C$46,INDEX(SETTINGS!$C$37:$C$46,INT(MIN($F120,9))+1)+(MIN($F120,9)-INT(MIN($F120,9)))*(INDEX(SETTINGS!$C$37:$C$46,INT(MIN($F120,9))+2)-INDEX(SETTINGS!$C$37:$C$46,INT(MIN($F120,9))+1))))</f>
        <v/>
      </c>
      <c r="H120">
        <f>IF($A120="","",IF(ISNA(MATCH($A120,CALC!$A$6:$A$143,0)),"",IF(INDEX(CALC!$H$6:$H$143,MATCH($A120,CALC!$A$6:$A$143,0))="","",INDEX(CALC!$H$6:$H$143,MATCH($A120,CALC!$A$6:$A$143,0)))))</f>
        <v/>
      </c>
      <c r="I120">
        <f>IF($E120="","",IF(OR($H120="",$F120=0,$F120=""),$E120,$G120*$E120+(1-$G120)*$H120))</f>
        <v/>
      </c>
      <c r="J120">
        <f>IF(OR($A120="",SETTINGS!$B$4="",SETTINGS!$B$4&lt;=1),"",IF(COUNTIFS(HISTORY!$A$6:$A$3005,SETTINGS!$B$4-1,HISTORY!$B$6:$B$3005,$A120)=1,SUMIFS(HISTORY!$C$6:$C$3005,HISTORY!$A$6:$A$3005,SETTINGS!$B$4-1,HISTORY!$B$6:$B$3005,$A120),""))</f>
        <v/>
      </c>
      <c r="K120">
        <f>IF($I120="","",IF(ISNUMBER($J120),$J120+MAX(-SETTINGS!$B$12,MIN(SETTINGS!$B$12,$I120-$J120)),$I120))</f>
        <v/>
      </c>
      <c r="O120">
        <f>IF($A120="","",IF(ISNUMBER($L120),$L120,IF($K120="","",$K120)))</f>
        <v/>
      </c>
      <c r="P120">
        <f>IF($A120="","",IF(ISNUMBER($L120),"OVERRIDE","MODEL"))</f>
        <v/>
      </c>
      <c r="Q120">
        <f>IF($A120="","",SETTINGS!$B$6)</f>
        <v/>
      </c>
      <c r="S120">
        <f>IF($A120="","",IF(ISNUMBER($R120),$R120,$Q120))</f>
        <v/>
      </c>
      <c r="W120">
        <f>IF($A120="","",SUMIFS(CLEAN!$AD$6:$AD$1005,CLEAN!$P$6:$P$1005,$A120)+SUMIFS(CLEAN!$AE$6:$AE$1005,CLEAN!$N$6:$N$1005,$A120))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MAP'!$C121)</f>
        <v/>
      </c>
      <c r="D121">
        <f>IF('TEAM MAP'!$A121="","",'TEAM MAP'!$E121)</f>
        <v/>
      </c>
      <c r="E121">
        <f>IF($A121="","",IF(ISNA(MATCH($A121,PRESEASON!$A$6:$A$143,0)),"",IF(INDEX(PRESEASON!$Z$6:$Z$143,MATCH($A121,PRESEASON!$A$6:$A$143,0))="","",INDEX(PRESEASON!$Z$6:$Z$143,MATCH($A121,PRESEASON!$A$6:$A$143,0)))))</f>
        <v/>
      </c>
      <c r="F121">
        <f>IF($A121="","",SUMIFS(CLEAN!$AB$6:$AB$1005,CLEAN!$P$6:$P$1005,$A121)+SUMIFS(CLEAN!$AC$6:$AC$1005,CLEAN!$N$6:$N$1005,$A121))</f>
        <v/>
      </c>
      <c r="G121">
        <f>IF(OR($A121="",$F121=""),"",IF(MIN($F121,9)&gt;=9,SETTINGS!$C$46,INDEX(SETTINGS!$C$37:$C$46,INT(MIN($F121,9))+1)+(MIN($F121,9)-INT(MIN($F121,9)))*(INDEX(SETTINGS!$C$37:$C$46,INT(MIN($F121,9))+2)-INDEX(SETTINGS!$C$37:$C$46,INT(MIN($F121,9))+1))))</f>
        <v/>
      </c>
      <c r="H121">
        <f>IF($A121="","",IF(ISNA(MATCH($A121,CALC!$A$6:$A$143,0)),"",IF(INDEX(CALC!$H$6:$H$143,MATCH($A121,CALC!$A$6:$A$143,0))="","",INDEX(CALC!$H$6:$H$143,MATCH($A121,CALC!$A$6:$A$143,0)))))</f>
        <v/>
      </c>
      <c r="I121">
        <f>IF($E121="","",IF(OR($H121="",$F121=0,$F121=""),$E121,$G121*$E121+(1-$G121)*$H121))</f>
        <v/>
      </c>
      <c r="J121">
        <f>IF(OR($A121="",SETTINGS!$B$4="",SETTINGS!$B$4&lt;=1),"",IF(COUNTIFS(HISTORY!$A$6:$A$3005,SETTINGS!$B$4-1,HISTORY!$B$6:$B$3005,$A121)=1,SUMIFS(HISTORY!$C$6:$C$3005,HISTORY!$A$6:$A$3005,SETTINGS!$B$4-1,HISTORY!$B$6:$B$3005,$A121),""))</f>
        <v/>
      </c>
      <c r="K121">
        <f>IF($I121="","",IF(ISNUMBER($J121),$J121+MAX(-SETTINGS!$B$12,MIN(SETTINGS!$B$12,$I121-$J121)),$I121))</f>
        <v/>
      </c>
      <c r="O121">
        <f>IF($A121="","",IF(ISNUMBER($L121),$L121,IF($K121="","",$K121)))</f>
        <v/>
      </c>
      <c r="P121">
        <f>IF($A121="","",IF(ISNUMBER($L121),"OVERRIDE","MODEL"))</f>
        <v/>
      </c>
      <c r="Q121">
        <f>IF($A121="","",SETTINGS!$B$6)</f>
        <v/>
      </c>
      <c r="S121">
        <f>IF($A121="","",IF(ISNUMBER($R121),$R121,$Q121))</f>
        <v/>
      </c>
      <c r="W121">
        <f>IF($A121="","",SUMIFS(CLEAN!$AD$6:$AD$1005,CLEAN!$P$6:$P$1005,$A121)+SUMIFS(CLEAN!$AE$6:$AE$1005,CLEAN!$N$6:$N$1005,$A121))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MAP'!$C122)</f>
        <v/>
      </c>
      <c r="D122">
        <f>IF('TEAM MAP'!$A122="","",'TEAM MAP'!$E122)</f>
        <v/>
      </c>
      <c r="E122">
        <f>IF($A122="","",IF(ISNA(MATCH($A122,PRESEASON!$A$6:$A$143,0)),"",IF(INDEX(PRESEASON!$Z$6:$Z$143,MATCH($A122,PRESEASON!$A$6:$A$143,0))="","",INDEX(PRESEASON!$Z$6:$Z$143,MATCH($A122,PRESEASON!$A$6:$A$143,0)))))</f>
        <v/>
      </c>
      <c r="F122">
        <f>IF($A122="","",SUMIFS(CLEAN!$AB$6:$AB$1005,CLEAN!$P$6:$P$1005,$A122)+SUMIFS(CLEAN!$AC$6:$AC$1005,CLEAN!$N$6:$N$1005,$A122))</f>
        <v/>
      </c>
      <c r="G122">
        <f>IF(OR($A122="",$F122=""),"",IF(MIN($F122,9)&gt;=9,SETTINGS!$C$46,INDEX(SETTINGS!$C$37:$C$46,INT(MIN($F122,9))+1)+(MIN($F122,9)-INT(MIN($F122,9)))*(INDEX(SETTINGS!$C$37:$C$46,INT(MIN($F122,9))+2)-INDEX(SETTINGS!$C$37:$C$46,INT(MIN($F122,9))+1))))</f>
        <v/>
      </c>
      <c r="H122">
        <f>IF($A122="","",IF(ISNA(MATCH($A122,CALC!$A$6:$A$143,0)),"",IF(INDEX(CALC!$H$6:$H$143,MATCH($A122,CALC!$A$6:$A$143,0))="","",INDEX(CALC!$H$6:$H$143,MATCH($A122,CALC!$A$6:$A$143,0)))))</f>
        <v/>
      </c>
      <c r="I122">
        <f>IF($E122="","",IF(OR($H122="",$F122=0,$F122=""),$E122,$G122*$E122+(1-$G122)*$H122))</f>
        <v/>
      </c>
      <c r="J122">
        <f>IF(OR($A122="",SETTINGS!$B$4="",SETTINGS!$B$4&lt;=1),"",IF(COUNTIFS(HISTORY!$A$6:$A$3005,SETTINGS!$B$4-1,HISTORY!$B$6:$B$3005,$A122)=1,SUMIFS(HISTORY!$C$6:$C$3005,HISTORY!$A$6:$A$3005,SETTINGS!$B$4-1,HISTORY!$B$6:$B$3005,$A122),""))</f>
        <v/>
      </c>
      <c r="K122">
        <f>IF($I122="","",IF(ISNUMBER($J122),$J122+MAX(-SETTINGS!$B$12,MIN(SETTINGS!$B$12,$I122-$J122)),$I122))</f>
        <v/>
      </c>
      <c r="O122">
        <f>IF($A122="","",IF(ISNUMBER($L122),$L122,IF($K122="","",$K122)))</f>
        <v/>
      </c>
      <c r="P122">
        <f>IF($A122="","",IF(ISNUMBER($L122),"OVERRIDE","MODEL"))</f>
        <v/>
      </c>
      <c r="Q122">
        <f>IF($A122="","",SETTINGS!$B$6)</f>
        <v/>
      </c>
      <c r="S122">
        <f>IF($A122="","",IF(ISNUMBER($R122),$R122,$Q122))</f>
        <v/>
      </c>
      <c r="W122">
        <f>IF($A122="","",SUMIFS(CLEAN!$AD$6:$AD$1005,CLEAN!$P$6:$P$1005,$A122)+SUMIFS(CLEAN!$AE$6:$AE$1005,CLEAN!$N$6:$N$1005,$A122))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MAP'!$C123)</f>
        <v/>
      </c>
      <c r="D123">
        <f>IF('TEAM MAP'!$A123="","",'TEAM MAP'!$E123)</f>
        <v/>
      </c>
      <c r="E123">
        <f>IF($A123="","",IF(ISNA(MATCH($A123,PRESEASON!$A$6:$A$143,0)),"",IF(INDEX(PRESEASON!$Z$6:$Z$143,MATCH($A123,PRESEASON!$A$6:$A$143,0))="","",INDEX(PRESEASON!$Z$6:$Z$143,MATCH($A123,PRESEASON!$A$6:$A$143,0)))))</f>
        <v/>
      </c>
      <c r="F123">
        <f>IF($A123="","",SUMIFS(CLEAN!$AB$6:$AB$1005,CLEAN!$P$6:$P$1005,$A123)+SUMIFS(CLEAN!$AC$6:$AC$1005,CLEAN!$N$6:$N$1005,$A123))</f>
        <v/>
      </c>
      <c r="G123">
        <f>IF(OR($A123="",$F123=""),"",IF(MIN($F123,9)&gt;=9,SETTINGS!$C$46,INDEX(SETTINGS!$C$37:$C$46,INT(MIN($F123,9))+1)+(MIN($F123,9)-INT(MIN($F123,9)))*(INDEX(SETTINGS!$C$37:$C$46,INT(MIN($F123,9))+2)-INDEX(SETTINGS!$C$37:$C$46,INT(MIN($F123,9))+1))))</f>
        <v/>
      </c>
      <c r="H123">
        <f>IF($A123="","",IF(ISNA(MATCH($A123,CALC!$A$6:$A$143,0)),"",IF(INDEX(CALC!$H$6:$H$143,MATCH($A123,CALC!$A$6:$A$143,0))="","",INDEX(CALC!$H$6:$H$143,MATCH($A123,CALC!$A$6:$A$143,0)))))</f>
        <v/>
      </c>
      <c r="I123">
        <f>IF($E123="","",IF(OR($H123="",$F123=0,$F123=""),$E123,$G123*$E123+(1-$G123)*$H123))</f>
        <v/>
      </c>
      <c r="J123">
        <f>IF(OR($A123="",SETTINGS!$B$4="",SETTINGS!$B$4&lt;=1),"",IF(COUNTIFS(HISTORY!$A$6:$A$3005,SETTINGS!$B$4-1,HISTORY!$B$6:$B$3005,$A123)=1,SUMIFS(HISTORY!$C$6:$C$3005,HISTORY!$A$6:$A$3005,SETTINGS!$B$4-1,HISTORY!$B$6:$B$3005,$A123),""))</f>
        <v/>
      </c>
      <c r="K123">
        <f>IF($I123="","",IF(ISNUMBER($J123),$J123+MAX(-SETTINGS!$B$12,MIN(SETTINGS!$B$12,$I123-$J123)),$I123))</f>
        <v/>
      </c>
      <c r="O123">
        <f>IF($A123="","",IF(ISNUMBER($L123),$L123,IF($K123="","",$K123)))</f>
        <v/>
      </c>
      <c r="P123">
        <f>IF($A123="","",IF(ISNUMBER($L123),"OVERRIDE","MODEL"))</f>
        <v/>
      </c>
      <c r="Q123">
        <f>IF($A123="","",SETTINGS!$B$6)</f>
        <v/>
      </c>
      <c r="S123">
        <f>IF($A123="","",IF(ISNUMBER($R123),$R123,$Q123))</f>
        <v/>
      </c>
      <c r="W123">
        <f>IF($A123="","",SUMIFS(CLEAN!$AD$6:$AD$1005,CLEAN!$P$6:$P$1005,$A123)+SUMIFS(CLEAN!$AE$6:$AE$1005,CLEAN!$N$6:$N$1005,$A123))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MAP'!$C124)</f>
        <v/>
      </c>
      <c r="D124">
        <f>IF('TEAM MAP'!$A124="","",'TEAM MAP'!$E124)</f>
        <v/>
      </c>
      <c r="E124">
        <f>IF($A124="","",IF(ISNA(MATCH($A124,PRESEASON!$A$6:$A$143,0)),"",IF(INDEX(PRESEASON!$Z$6:$Z$143,MATCH($A124,PRESEASON!$A$6:$A$143,0))="","",INDEX(PRESEASON!$Z$6:$Z$143,MATCH($A124,PRESEASON!$A$6:$A$143,0)))))</f>
        <v/>
      </c>
      <c r="F124">
        <f>IF($A124="","",SUMIFS(CLEAN!$AB$6:$AB$1005,CLEAN!$P$6:$P$1005,$A124)+SUMIFS(CLEAN!$AC$6:$AC$1005,CLEAN!$N$6:$N$1005,$A124))</f>
        <v/>
      </c>
      <c r="G124">
        <f>IF(OR($A124="",$F124=""),"",IF(MIN($F124,9)&gt;=9,SETTINGS!$C$46,INDEX(SETTINGS!$C$37:$C$46,INT(MIN($F124,9))+1)+(MIN($F124,9)-INT(MIN($F124,9)))*(INDEX(SETTINGS!$C$37:$C$46,INT(MIN($F124,9))+2)-INDEX(SETTINGS!$C$37:$C$46,INT(MIN($F124,9))+1))))</f>
        <v/>
      </c>
      <c r="H124">
        <f>IF($A124="","",IF(ISNA(MATCH($A124,CALC!$A$6:$A$143,0)),"",IF(INDEX(CALC!$H$6:$H$143,MATCH($A124,CALC!$A$6:$A$143,0))="","",INDEX(CALC!$H$6:$H$143,MATCH($A124,CALC!$A$6:$A$143,0)))))</f>
        <v/>
      </c>
      <c r="I124">
        <f>IF($E124="","",IF(OR($H124="",$F124=0,$F124=""),$E124,$G124*$E124+(1-$G124)*$H124))</f>
        <v/>
      </c>
      <c r="J124">
        <f>IF(OR($A124="",SETTINGS!$B$4="",SETTINGS!$B$4&lt;=1),"",IF(COUNTIFS(HISTORY!$A$6:$A$3005,SETTINGS!$B$4-1,HISTORY!$B$6:$B$3005,$A124)=1,SUMIFS(HISTORY!$C$6:$C$3005,HISTORY!$A$6:$A$3005,SETTINGS!$B$4-1,HISTORY!$B$6:$B$3005,$A124),""))</f>
        <v/>
      </c>
      <c r="K124">
        <f>IF($I124="","",IF(ISNUMBER($J124),$J124+MAX(-SETTINGS!$B$12,MIN(SETTINGS!$B$12,$I124-$J124)),$I124))</f>
        <v/>
      </c>
      <c r="O124">
        <f>IF($A124="","",IF(ISNUMBER($L124),$L124,IF($K124="","",$K124)))</f>
        <v/>
      </c>
      <c r="P124">
        <f>IF($A124="","",IF(ISNUMBER($L124),"OVERRIDE","MODEL"))</f>
        <v/>
      </c>
      <c r="Q124">
        <f>IF($A124="","",SETTINGS!$B$6)</f>
        <v/>
      </c>
      <c r="S124">
        <f>IF($A124="","",IF(ISNUMBER($R124),$R124,$Q124))</f>
        <v/>
      </c>
      <c r="W124">
        <f>IF($A124="","",SUMIFS(CLEAN!$AD$6:$AD$1005,CLEAN!$P$6:$P$1005,$A124)+SUMIFS(CLEAN!$AE$6:$AE$1005,CLEAN!$N$6:$N$1005,$A124))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MAP'!$C125)</f>
        <v/>
      </c>
      <c r="D125">
        <f>IF('TEAM MAP'!$A125="","",'TEAM MAP'!$E125)</f>
        <v/>
      </c>
      <c r="E125">
        <f>IF($A125="","",IF(ISNA(MATCH($A125,PRESEASON!$A$6:$A$143,0)),"",IF(INDEX(PRESEASON!$Z$6:$Z$143,MATCH($A125,PRESEASON!$A$6:$A$143,0))="","",INDEX(PRESEASON!$Z$6:$Z$143,MATCH($A125,PRESEASON!$A$6:$A$143,0)))))</f>
        <v/>
      </c>
      <c r="F125">
        <f>IF($A125="","",SUMIFS(CLEAN!$AB$6:$AB$1005,CLEAN!$P$6:$P$1005,$A125)+SUMIFS(CLEAN!$AC$6:$AC$1005,CLEAN!$N$6:$N$1005,$A125))</f>
        <v/>
      </c>
      <c r="G125">
        <f>IF(OR($A125="",$F125=""),"",IF(MIN($F125,9)&gt;=9,SETTINGS!$C$46,INDEX(SETTINGS!$C$37:$C$46,INT(MIN($F125,9))+1)+(MIN($F125,9)-INT(MIN($F125,9)))*(INDEX(SETTINGS!$C$37:$C$46,INT(MIN($F125,9))+2)-INDEX(SETTINGS!$C$37:$C$46,INT(MIN($F125,9))+1))))</f>
        <v/>
      </c>
      <c r="H125">
        <f>IF($A125="","",IF(ISNA(MATCH($A125,CALC!$A$6:$A$143,0)),"",IF(INDEX(CALC!$H$6:$H$143,MATCH($A125,CALC!$A$6:$A$143,0))="","",INDEX(CALC!$H$6:$H$143,MATCH($A125,CALC!$A$6:$A$143,0)))))</f>
        <v/>
      </c>
      <c r="I125">
        <f>IF($E125="","",IF(OR($H125="",$F125=0,$F125=""),$E125,$G125*$E125+(1-$G125)*$H125))</f>
        <v/>
      </c>
      <c r="J125">
        <f>IF(OR($A125="",SETTINGS!$B$4="",SETTINGS!$B$4&lt;=1),"",IF(COUNTIFS(HISTORY!$A$6:$A$3005,SETTINGS!$B$4-1,HISTORY!$B$6:$B$3005,$A125)=1,SUMIFS(HISTORY!$C$6:$C$3005,HISTORY!$A$6:$A$3005,SETTINGS!$B$4-1,HISTORY!$B$6:$B$3005,$A125),""))</f>
        <v/>
      </c>
      <c r="K125">
        <f>IF($I125="","",IF(ISNUMBER($J125),$J125+MAX(-SETTINGS!$B$12,MIN(SETTINGS!$B$12,$I125-$J125)),$I125))</f>
        <v/>
      </c>
      <c r="O125">
        <f>IF($A125="","",IF(ISNUMBER($L125),$L125,IF($K125="","",$K125)))</f>
        <v/>
      </c>
      <c r="P125">
        <f>IF($A125="","",IF(ISNUMBER($L125),"OVERRIDE","MODEL"))</f>
        <v/>
      </c>
      <c r="Q125">
        <f>IF($A125="","",SETTINGS!$B$6)</f>
        <v/>
      </c>
      <c r="S125">
        <f>IF($A125="","",IF(ISNUMBER($R125),$R125,$Q125))</f>
        <v/>
      </c>
      <c r="W125">
        <f>IF($A125="","",SUMIFS(CLEAN!$AD$6:$AD$1005,CLEAN!$P$6:$P$1005,$A125)+SUMIFS(CLEAN!$AE$6:$AE$1005,CLEAN!$N$6:$N$1005,$A125))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MAP'!$C126)</f>
        <v/>
      </c>
      <c r="D126">
        <f>IF('TEAM MAP'!$A126="","",'TEAM MAP'!$E126)</f>
        <v/>
      </c>
      <c r="E126">
        <f>IF($A126="","",IF(ISNA(MATCH($A126,PRESEASON!$A$6:$A$143,0)),"",IF(INDEX(PRESEASON!$Z$6:$Z$143,MATCH($A126,PRESEASON!$A$6:$A$143,0))="","",INDEX(PRESEASON!$Z$6:$Z$143,MATCH($A126,PRESEASON!$A$6:$A$143,0)))))</f>
        <v/>
      </c>
      <c r="F126">
        <f>IF($A126="","",SUMIFS(CLEAN!$AB$6:$AB$1005,CLEAN!$P$6:$P$1005,$A126)+SUMIFS(CLEAN!$AC$6:$AC$1005,CLEAN!$N$6:$N$1005,$A126))</f>
        <v/>
      </c>
      <c r="G126">
        <f>IF(OR($A126="",$F126=""),"",IF(MIN($F126,9)&gt;=9,SETTINGS!$C$46,INDEX(SETTINGS!$C$37:$C$46,INT(MIN($F126,9))+1)+(MIN($F126,9)-INT(MIN($F126,9)))*(INDEX(SETTINGS!$C$37:$C$46,INT(MIN($F126,9))+2)-INDEX(SETTINGS!$C$37:$C$46,INT(MIN($F126,9))+1))))</f>
        <v/>
      </c>
      <c r="H126">
        <f>IF($A126="","",IF(ISNA(MATCH($A126,CALC!$A$6:$A$143,0)),"",IF(INDEX(CALC!$H$6:$H$143,MATCH($A126,CALC!$A$6:$A$143,0))="","",INDEX(CALC!$H$6:$H$143,MATCH($A126,CALC!$A$6:$A$143,0)))))</f>
        <v/>
      </c>
      <c r="I126">
        <f>IF($E126="","",IF(OR($H126="",$F126=0,$F126=""),$E126,$G126*$E126+(1-$G126)*$H126))</f>
        <v/>
      </c>
      <c r="J126">
        <f>IF(OR($A126="",SETTINGS!$B$4="",SETTINGS!$B$4&lt;=1),"",IF(COUNTIFS(HISTORY!$A$6:$A$3005,SETTINGS!$B$4-1,HISTORY!$B$6:$B$3005,$A126)=1,SUMIFS(HISTORY!$C$6:$C$3005,HISTORY!$A$6:$A$3005,SETTINGS!$B$4-1,HISTORY!$B$6:$B$3005,$A126),""))</f>
        <v/>
      </c>
      <c r="K126">
        <f>IF($I126="","",IF(ISNUMBER($J126),$J126+MAX(-SETTINGS!$B$12,MIN(SETTINGS!$B$12,$I126-$J126)),$I126))</f>
        <v/>
      </c>
      <c r="O126">
        <f>IF($A126="","",IF(ISNUMBER($L126),$L126,IF($K126="","",$K126)))</f>
        <v/>
      </c>
      <c r="P126">
        <f>IF($A126="","",IF(ISNUMBER($L126),"OVERRIDE","MODEL"))</f>
        <v/>
      </c>
      <c r="Q126">
        <f>IF($A126="","",SETTINGS!$B$6)</f>
        <v/>
      </c>
      <c r="S126">
        <f>IF($A126="","",IF(ISNUMBER($R126),$R126,$Q126))</f>
        <v/>
      </c>
      <c r="W126">
        <f>IF($A126="","",SUMIFS(CLEAN!$AD$6:$AD$1005,CLEAN!$P$6:$P$1005,$A126)+SUMIFS(CLEAN!$AE$6:$AE$1005,CLEAN!$N$6:$N$1005,$A126))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MAP'!$C127)</f>
        <v/>
      </c>
      <c r="D127">
        <f>IF('TEAM MAP'!$A127="","",'TEAM MAP'!$E127)</f>
        <v/>
      </c>
      <c r="E127">
        <f>IF($A127="","",IF(ISNA(MATCH($A127,PRESEASON!$A$6:$A$143,0)),"",IF(INDEX(PRESEASON!$Z$6:$Z$143,MATCH($A127,PRESEASON!$A$6:$A$143,0))="","",INDEX(PRESEASON!$Z$6:$Z$143,MATCH($A127,PRESEASON!$A$6:$A$143,0)))))</f>
        <v/>
      </c>
      <c r="F127">
        <f>IF($A127="","",SUMIFS(CLEAN!$AB$6:$AB$1005,CLEAN!$P$6:$P$1005,$A127)+SUMIFS(CLEAN!$AC$6:$AC$1005,CLEAN!$N$6:$N$1005,$A127))</f>
        <v/>
      </c>
      <c r="G127">
        <f>IF(OR($A127="",$F127=""),"",IF(MIN($F127,9)&gt;=9,SETTINGS!$C$46,INDEX(SETTINGS!$C$37:$C$46,INT(MIN($F127,9))+1)+(MIN($F127,9)-INT(MIN($F127,9)))*(INDEX(SETTINGS!$C$37:$C$46,INT(MIN($F127,9))+2)-INDEX(SETTINGS!$C$37:$C$46,INT(MIN($F127,9))+1))))</f>
        <v/>
      </c>
      <c r="H127">
        <f>IF($A127="","",IF(ISNA(MATCH($A127,CALC!$A$6:$A$143,0)),"",IF(INDEX(CALC!$H$6:$H$143,MATCH($A127,CALC!$A$6:$A$143,0))="","",INDEX(CALC!$H$6:$H$143,MATCH($A127,CALC!$A$6:$A$143,0)))))</f>
        <v/>
      </c>
      <c r="I127">
        <f>IF($E127="","",IF(OR($H127="",$F127=0,$F127=""),$E127,$G127*$E127+(1-$G127)*$H127))</f>
        <v/>
      </c>
      <c r="J127">
        <f>IF(OR($A127="",SETTINGS!$B$4="",SETTINGS!$B$4&lt;=1),"",IF(COUNTIFS(HISTORY!$A$6:$A$3005,SETTINGS!$B$4-1,HISTORY!$B$6:$B$3005,$A127)=1,SUMIFS(HISTORY!$C$6:$C$3005,HISTORY!$A$6:$A$3005,SETTINGS!$B$4-1,HISTORY!$B$6:$B$3005,$A127),""))</f>
        <v/>
      </c>
      <c r="K127">
        <f>IF($I127="","",IF(ISNUMBER($J127),$J127+MAX(-SETTINGS!$B$12,MIN(SETTINGS!$B$12,$I127-$J127)),$I127))</f>
        <v/>
      </c>
      <c r="O127">
        <f>IF($A127="","",IF(ISNUMBER($L127),$L127,IF($K127="","",$K127)))</f>
        <v/>
      </c>
      <c r="P127">
        <f>IF($A127="","",IF(ISNUMBER($L127),"OVERRIDE","MODEL"))</f>
        <v/>
      </c>
      <c r="Q127">
        <f>IF($A127="","",SETTINGS!$B$6)</f>
        <v/>
      </c>
      <c r="S127">
        <f>IF($A127="","",IF(ISNUMBER($R127),$R127,$Q127))</f>
        <v/>
      </c>
      <c r="W127">
        <f>IF($A127="","",SUMIFS(CLEAN!$AD$6:$AD$1005,CLEAN!$P$6:$P$1005,$A127)+SUMIFS(CLEAN!$AE$6:$AE$1005,CLEAN!$N$6:$N$1005,$A127))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MAP'!$C128)</f>
        <v/>
      </c>
      <c r="D128">
        <f>IF('TEAM MAP'!$A128="","",'TEAM MAP'!$E128)</f>
        <v/>
      </c>
      <c r="E128">
        <f>IF($A128="","",IF(ISNA(MATCH($A128,PRESEASON!$A$6:$A$143,0)),"",IF(INDEX(PRESEASON!$Z$6:$Z$143,MATCH($A128,PRESEASON!$A$6:$A$143,0))="","",INDEX(PRESEASON!$Z$6:$Z$143,MATCH($A128,PRESEASON!$A$6:$A$143,0)))))</f>
        <v/>
      </c>
      <c r="F128">
        <f>IF($A128="","",SUMIFS(CLEAN!$AB$6:$AB$1005,CLEAN!$P$6:$P$1005,$A128)+SUMIFS(CLEAN!$AC$6:$AC$1005,CLEAN!$N$6:$N$1005,$A128))</f>
        <v/>
      </c>
      <c r="G128">
        <f>IF(OR($A128="",$F128=""),"",IF(MIN($F128,9)&gt;=9,SETTINGS!$C$46,INDEX(SETTINGS!$C$37:$C$46,INT(MIN($F128,9))+1)+(MIN($F128,9)-INT(MIN($F128,9)))*(INDEX(SETTINGS!$C$37:$C$46,INT(MIN($F128,9))+2)-INDEX(SETTINGS!$C$37:$C$46,INT(MIN($F128,9))+1))))</f>
        <v/>
      </c>
      <c r="H128">
        <f>IF($A128="","",IF(ISNA(MATCH($A128,CALC!$A$6:$A$143,0)),"",IF(INDEX(CALC!$H$6:$H$143,MATCH($A128,CALC!$A$6:$A$143,0))="","",INDEX(CALC!$H$6:$H$143,MATCH($A128,CALC!$A$6:$A$143,0)))))</f>
        <v/>
      </c>
      <c r="I128">
        <f>IF($E128="","",IF(OR($H128="",$F128=0,$F128=""),$E128,$G128*$E128+(1-$G128)*$H128))</f>
        <v/>
      </c>
      <c r="J128">
        <f>IF(OR($A128="",SETTINGS!$B$4="",SETTINGS!$B$4&lt;=1),"",IF(COUNTIFS(HISTORY!$A$6:$A$3005,SETTINGS!$B$4-1,HISTORY!$B$6:$B$3005,$A128)=1,SUMIFS(HISTORY!$C$6:$C$3005,HISTORY!$A$6:$A$3005,SETTINGS!$B$4-1,HISTORY!$B$6:$B$3005,$A128),""))</f>
        <v/>
      </c>
      <c r="K128">
        <f>IF($I128="","",IF(ISNUMBER($J128),$J128+MAX(-SETTINGS!$B$12,MIN(SETTINGS!$B$12,$I128-$J128)),$I128))</f>
        <v/>
      </c>
      <c r="O128">
        <f>IF($A128="","",IF(ISNUMBER($L128),$L128,IF($K128="","",$K128)))</f>
        <v/>
      </c>
      <c r="P128">
        <f>IF($A128="","",IF(ISNUMBER($L128),"OVERRIDE","MODEL"))</f>
        <v/>
      </c>
      <c r="Q128">
        <f>IF($A128="","",SETTINGS!$B$6)</f>
        <v/>
      </c>
      <c r="S128">
        <f>IF($A128="","",IF(ISNUMBER($R128),$R128,$Q128))</f>
        <v/>
      </c>
      <c r="W128">
        <f>IF($A128="","",SUMIFS(CLEAN!$AD$6:$AD$1005,CLEAN!$P$6:$P$1005,$A128)+SUMIFS(CLEAN!$AE$6:$AE$1005,CLEAN!$N$6:$N$1005,$A128))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MAP'!$C129)</f>
        <v/>
      </c>
      <c r="D129">
        <f>IF('TEAM MAP'!$A129="","",'TEAM MAP'!$E129)</f>
        <v/>
      </c>
      <c r="E129">
        <f>IF($A129="","",IF(ISNA(MATCH($A129,PRESEASON!$A$6:$A$143,0)),"",IF(INDEX(PRESEASON!$Z$6:$Z$143,MATCH($A129,PRESEASON!$A$6:$A$143,0))="","",INDEX(PRESEASON!$Z$6:$Z$143,MATCH($A129,PRESEASON!$A$6:$A$143,0)))))</f>
        <v/>
      </c>
      <c r="F129">
        <f>IF($A129="","",SUMIFS(CLEAN!$AB$6:$AB$1005,CLEAN!$P$6:$P$1005,$A129)+SUMIFS(CLEAN!$AC$6:$AC$1005,CLEAN!$N$6:$N$1005,$A129))</f>
        <v/>
      </c>
      <c r="G129">
        <f>IF(OR($A129="",$F129=""),"",IF(MIN($F129,9)&gt;=9,SETTINGS!$C$46,INDEX(SETTINGS!$C$37:$C$46,INT(MIN($F129,9))+1)+(MIN($F129,9)-INT(MIN($F129,9)))*(INDEX(SETTINGS!$C$37:$C$46,INT(MIN($F129,9))+2)-INDEX(SETTINGS!$C$37:$C$46,INT(MIN($F129,9))+1))))</f>
        <v/>
      </c>
      <c r="H129">
        <f>IF($A129="","",IF(ISNA(MATCH($A129,CALC!$A$6:$A$143,0)),"",IF(INDEX(CALC!$H$6:$H$143,MATCH($A129,CALC!$A$6:$A$143,0))="","",INDEX(CALC!$H$6:$H$143,MATCH($A129,CALC!$A$6:$A$143,0)))))</f>
        <v/>
      </c>
      <c r="I129">
        <f>IF($E129="","",IF(OR($H129="",$F129=0,$F129=""),$E129,$G129*$E129+(1-$G129)*$H129))</f>
        <v/>
      </c>
      <c r="J129">
        <f>IF(OR($A129="",SETTINGS!$B$4="",SETTINGS!$B$4&lt;=1),"",IF(COUNTIFS(HISTORY!$A$6:$A$3005,SETTINGS!$B$4-1,HISTORY!$B$6:$B$3005,$A129)=1,SUMIFS(HISTORY!$C$6:$C$3005,HISTORY!$A$6:$A$3005,SETTINGS!$B$4-1,HISTORY!$B$6:$B$3005,$A129),""))</f>
        <v/>
      </c>
      <c r="K129">
        <f>IF($I129="","",IF(ISNUMBER($J129),$J129+MAX(-SETTINGS!$B$12,MIN(SETTINGS!$B$12,$I129-$J129)),$I129))</f>
        <v/>
      </c>
      <c r="O129">
        <f>IF($A129="","",IF(ISNUMBER($L129),$L129,IF($K129="","",$K129)))</f>
        <v/>
      </c>
      <c r="P129">
        <f>IF($A129="","",IF(ISNUMBER($L129),"OVERRIDE","MODEL"))</f>
        <v/>
      </c>
      <c r="Q129">
        <f>IF($A129="","",SETTINGS!$B$6)</f>
        <v/>
      </c>
      <c r="S129">
        <f>IF($A129="","",IF(ISNUMBER($R129),$R129,$Q129))</f>
        <v/>
      </c>
      <c r="W129">
        <f>IF($A129="","",SUMIFS(CLEAN!$AD$6:$AD$1005,CLEAN!$P$6:$P$1005,$A129)+SUMIFS(CLEAN!$AE$6:$AE$1005,CLEAN!$N$6:$N$1005,$A129))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MAP'!$C130)</f>
        <v/>
      </c>
      <c r="D130">
        <f>IF('TEAM MAP'!$A130="","",'TEAM MAP'!$E130)</f>
        <v/>
      </c>
      <c r="E130">
        <f>IF($A130="","",IF(ISNA(MATCH($A130,PRESEASON!$A$6:$A$143,0)),"",IF(INDEX(PRESEASON!$Z$6:$Z$143,MATCH($A130,PRESEASON!$A$6:$A$143,0))="","",INDEX(PRESEASON!$Z$6:$Z$143,MATCH($A130,PRESEASON!$A$6:$A$143,0)))))</f>
        <v/>
      </c>
      <c r="F130">
        <f>IF($A130="","",SUMIFS(CLEAN!$AB$6:$AB$1005,CLEAN!$P$6:$P$1005,$A130)+SUMIFS(CLEAN!$AC$6:$AC$1005,CLEAN!$N$6:$N$1005,$A130))</f>
        <v/>
      </c>
      <c r="G130">
        <f>IF(OR($A130="",$F130=""),"",IF(MIN($F130,9)&gt;=9,SETTINGS!$C$46,INDEX(SETTINGS!$C$37:$C$46,INT(MIN($F130,9))+1)+(MIN($F130,9)-INT(MIN($F130,9)))*(INDEX(SETTINGS!$C$37:$C$46,INT(MIN($F130,9))+2)-INDEX(SETTINGS!$C$37:$C$46,INT(MIN($F130,9))+1))))</f>
        <v/>
      </c>
      <c r="H130">
        <f>IF($A130="","",IF(ISNA(MATCH($A130,CALC!$A$6:$A$143,0)),"",IF(INDEX(CALC!$H$6:$H$143,MATCH($A130,CALC!$A$6:$A$143,0))="","",INDEX(CALC!$H$6:$H$143,MATCH($A130,CALC!$A$6:$A$143,0)))))</f>
        <v/>
      </c>
      <c r="I130">
        <f>IF($E130="","",IF(OR($H130="",$F130=0,$F130=""),$E130,$G130*$E130+(1-$G130)*$H130))</f>
        <v/>
      </c>
      <c r="J130">
        <f>IF(OR($A130="",SETTINGS!$B$4="",SETTINGS!$B$4&lt;=1),"",IF(COUNTIFS(HISTORY!$A$6:$A$3005,SETTINGS!$B$4-1,HISTORY!$B$6:$B$3005,$A130)=1,SUMIFS(HISTORY!$C$6:$C$3005,HISTORY!$A$6:$A$3005,SETTINGS!$B$4-1,HISTORY!$B$6:$B$3005,$A130),""))</f>
        <v/>
      </c>
      <c r="K130">
        <f>IF($I130="","",IF(ISNUMBER($J130),$J130+MAX(-SETTINGS!$B$12,MIN(SETTINGS!$B$12,$I130-$J130)),$I130))</f>
        <v/>
      </c>
      <c r="O130">
        <f>IF($A130="","",IF(ISNUMBER($L130),$L130,IF($K130="","",$K130)))</f>
        <v/>
      </c>
      <c r="P130">
        <f>IF($A130="","",IF(ISNUMBER($L130),"OVERRIDE","MODEL"))</f>
        <v/>
      </c>
      <c r="Q130">
        <f>IF($A130="","",SETTINGS!$B$6)</f>
        <v/>
      </c>
      <c r="S130">
        <f>IF($A130="","",IF(ISNUMBER($R130),$R130,$Q130))</f>
        <v/>
      </c>
      <c r="W130">
        <f>IF($A130="","",SUMIFS(CLEAN!$AD$6:$AD$1005,CLEAN!$P$6:$P$1005,$A130)+SUMIFS(CLEAN!$AE$6:$AE$1005,CLEAN!$N$6:$N$1005,$A130))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MAP'!$C131)</f>
        <v/>
      </c>
      <c r="D131">
        <f>IF('TEAM MAP'!$A131="","",'TEAM MAP'!$E131)</f>
        <v/>
      </c>
      <c r="E131">
        <f>IF($A131="","",IF(ISNA(MATCH($A131,PRESEASON!$A$6:$A$143,0)),"",IF(INDEX(PRESEASON!$Z$6:$Z$143,MATCH($A131,PRESEASON!$A$6:$A$143,0))="","",INDEX(PRESEASON!$Z$6:$Z$143,MATCH($A131,PRESEASON!$A$6:$A$143,0)))))</f>
        <v/>
      </c>
      <c r="F131">
        <f>IF($A131="","",SUMIFS(CLEAN!$AB$6:$AB$1005,CLEAN!$P$6:$P$1005,$A131)+SUMIFS(CLEAN!$AC$6:$AC$1005,CLEAN!$N$6:$N$1005,$A131))</f>
        <v/>
      </c>
      <c r="G131">
        <f>IF(OR($A131="",$F131=""),"",IF(MIN($F131,9)&gt;=9,SETTINGS!$C$46,INDEX(SETTINGS!$C$37:$C$46,INT(MIN($F131,9))+1)+(MIN($F131,9)-INT(MIN($F131,9)))*(INDEX(SETTINGS!$C$37:$C$46,INT(MIN($F131,9))+2)-INDEX(SETTINGS!$C$37:$C$46,INT(MIN($F131,9))+1))))</f>
        <v/>
      </c>
      <c r="H131">
        <f>IF($A131="","",IF(ISNA(MATCH($A131,CALC!$A$6:$A$143,0)),"",IF(INDEX(CALC!$H$6:$H$143,MATCH($A131,CALC!$A$6:$A$143,0))="","",INDEX(CALC!$H$6:$H$143,MATCH($A131,CALC!$A$6:$A$143,0)))))</f>
        <v/>
      </c>
      <c r="I131">
        <f>IF($E131="","",IF(OR($H131="",$F131=0,$F131=""),$E131,$G131*$E131+(1-$G131)*$H131))</f>
        <v/>
      </c>
      <c r="J131">
        <f>IF(OR($A131="",SETTINGS!$B$4="",SETTINGS!$B$4&lt;=1),"",IF(COUNTIFS(HISTORY!$A$6:$A$3005,SETTINGS!$B$4-1,HISTORY!$B$6:$B$3005,$A131)=1,SUMIFS(HISTORY!$C$6:$C$3005,HISTORY!$A$6:$A$3005,SETTINGS!$B$4-1,HISTORY!$B$6:$B$3005,$A131),""))</f>
        <v/>
      </c>
      <c r="K131">
        <f>IF($I131="","",IF(ISNUMBER($J131),$J131+MAX(-SETTINGS!$B$12,MIN(SETTINGS!$B$12,$I131-$J131)),$I131))</f>
        <v/>
      </c>
      <c r="O131">
        <f>IF($A131="","",IF(ISNUMBER($L131),$L131,IF($K131="","",$K131)))</f>
        <v/>
      </c>
      <c r="P131">
        <f>IF($A131="","",IF(ISNUMBER($L131),"OVERRIDE","MODEL"))</f>
        <v/>
      </c>
      <c r="Q131">
        <f>IF($A131="","",SETTINGS!$B$6)</f>
        <v/>
      </c>
      <c r="S131">
        <f>IF($A131="","",IF(ISNUMBER($R131),$R131,$Q131))</f>
        <v/>
      </c>
      <c r="W131">
        <f>IF($A131="","",SUMIFS(CLEAN!$AD$6:$AD$1005,CLEAN!$P$6:$P$1005,$A131)+SUMIFS(CLEAN!$AE$6:$AE$1005,CLEAN!$N$6:$N$1005,$A131))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MAP'!$C132)</f>
        <v/>
      </c>
      <c r="D132">
        <f>IF('TEAM MAP'!$A132="","",'TEAM MAP'!$E132)</f>
        <v/>
      </c>
      <c r="E132">
        <f>IF($A132="","",IF(ISNA(MATCH($A132,PRESEASON!$A$6:$A$143,0)),"",IF(INDEX(PRESEASON!$Z$6:$Z$143,MATCH($A132,PRESEASON!$A$6:$A$143,0))="","",INDEX(PRESEASON!$Z$6:$Z$143,MATCH($A132,PRESEASON!$A$6:$A$143,0)))))</f>
        <v/>
      </c>
      <c r="F132">
        <f>IF($A132="","",SUMIFS(CLEAN!$AB$6:$AB$1005,CLEAN!$P$6:$P$1005,$A132)+SUMIFS(CLEAN!$AC$6:$AC$1005,CLEAN!$N$6:$N$1005,$A132))</f>
        <v/>
      </c>
      <c r="G132">
        <f>IF(OR($A132="",$F132=""),"",IF(MIN($F132,9)&gt;=9,SETTINGS!$C$46,INDEX(SETTINGS!$C$37:$C$46,INT(MIN($F132,9))+1)+(MIN($F132,9)-INT(MIN($F132,9)))*(INDEX(SETTINGS!$C$37:$C$46,INT(MIN($F132,9))+2)-INDEX(SETTINGS!$C$37:$C$46,INT(MIN($F132,9))+1))))</f>
        <v/>
      </c>
      <c r="H132">
        <f>IF($A132="","",IF(ISNA(MATCH($A132,CALC!$A$6:$A$143,0)),"",IF(INDEX(CALC!$H$6:$H$143,MATCH($A132,CALC!$A$6:$A$143,0))="","",INDEX(CALC!$H$6:$H$143,MATCH($A132,CALC!$A$6:$A$143,0)))))</f>
        <v/>
      </c>
      <c r="I132">
        <f>IF($E132="","",IF(OR($H132="",$F132=0,$F132=""),$E132,$G132*$E132+(1-$G132)*$H132))</f>
        <v/>
      </c>
      <c r="J132">
        <f>IF(OR($A132="",SETTINGS!$B$4="",SETTINGS!$B$4&lt;=1),"",IF(COUNTIFS(HISTORY!$A$6:$A$3005,SETTINGS!$B$4-1,HISTORY!$B$6:$B$3005,$A132)=1,SUMIFS(HISTORY!$C$6:$C$3005,HISTORY!$A$6:$A$3005,SETTINGS!$B$4-1,HISTORY!$B$6:$B$3005,$A132),""))</f>
        <v/>
      </c>
      <c r="K132">
        <f>IF($I132="","",IF(ISNUMBER($J132),$J132+MAX(-SETTINGS!$B$12,MIN(SETTINGS!$B$12,$I132-$J132)),$I132))</f>
        <v/>
      </c>
      <c r="O132">
        <f>IF($A132="","",IF(ISNUMBER($L132),$L132,IF($K132="","",$K132)))</f>
        <v/>
      </c>
      <c r="P132">
        <f>IF($A132="","",IF(ISNUMBER($L132),"OVERRIDE","MODEL"))</f>
        <v/>
      </c>
      <c r="Q132">
        <f>IF($A132="","",SETTINGS!$B$6)</f>
        <v/>
      </c>
      <c r="S132">
        <f>IF($A132="","",IF(ISNUMBER($R132),$R132,$Q132))</f>
        <v/>
      </c>
      <c r="W132">
        <f>IF($A132="","",SUMIFS(CLEAN!$AD$6:$AD$1005,CLEAN!$P$6:$P$1005,$A132)+SUMIFS(CLEAN!$AE$6:$AE$1005,CLEAN!$N$6:$N$1005,$A132))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MAP'!$C133)</f>
        <v/>
      </c>
      <c r="D133">
        <f>IF('TEAM MAP'!$A133="","",'TEAM MAP'!$E133)</f>
        <v/>
      </c>
      <c r="E133">
        <f>IF($A133="","",IF(ISNA(MATCH($A133,PRESEASON!$A$6:$A$143,0)),"",IF(INDEX(PRESEASON!$Z$6:$Z$143,MATCH($A133,PRESEASON!$A$6:$A$143,0))="","",INDEX(PRESEASON!$Z$6:$Z$143,MATCH($A133,PRESEASON!$A$6:$A$143,0)))))</f>
        <v/>
      </c>
      <c r="F133">
        <f>IF($A133="","",SUMIFS(CLEAN!$AB$6:$AB$1005,CLEAN!$P$6:$P$1005,$A133)+SUMIFS(CLEAN!$AC$6:$AC$1005,CLEAN!$N$6:$N$1005,$A133))</f>
        <v/>
      </c>
      <c r="G133">
        <f>IF(OR($A133="",$F133=""),"",IF(MIN($F133,9)&gt;=9,SETTINGS!$C$46,INDEX(SETTINGS!$C$37:$C$46,INT(MIN($F133,9))+1)+(MIN($F133,9)-INT(MIN($F133,9)))*(INDEX(SETTINGS!$C$37:$C$46,INT(MIN($F133,9))+2)-INDEX(SETTINGS!$C$37:$C$46,INT(MIN($F133,9))+1))))</f>
        <v/>
      </c>
      <c r="H133">
        <f>IF($A133="","",IF(ISNA(MATCH($A133,CALC!$A$6:$A$143,0)),"",IF(INDEX(CALC!$H$6:$H$143,MATCH($A133,CALC!$A$6:$A$143,0))="","",INDEX(CALC!$H$6:$H$143,MATCH($A133,CALC!$A$6:$A$143,0)))))</f>
        <v/>
      </c>
      <c r="I133">
        <f>IF($E133="","",IF(OR($H133="",$F133=0,$F133=""),$E133,$G133*$E133+(1-$G133)*$H133))</f>
        <v/>
      </c>
      <c r="J133">
        <f>IF(OR($A133="",SETTINGS!$B$4="",SETTINGS!$B$4&lt;=1),"",IF(COUNTIFS(HISTORY!$A$6:$A$3005,SETTINGS!$B$4-1,HISTORY!$B$6:$B$3005,$A133)=1,SUMIFS(HISTORY!$C$6:$C$3005,HISTORY!$A$6:$A$3005,SETTINGS!$B$4-1,HISTORY!$B$6:$B$3005,$A133),""))</f>
        <v/>
      </c>
      <c r="K133">
        <f>IF($I133="","",IF(ISNUMBER($J133),$J133+MAX(-SETTINGS!$B$12,MIN(SETTINGS!$B$12,$I133-$J133)),$I133))</f>
        <v/>
      </c>
      <c r="O133">
        <f>IF($A133="","",IF(ISNUMBER($L133),$L133,IF($K133="","",$K133)))</f>
        <v/>
      </c>
      <c r="P133">
        <f>IF($A133="","",IF(ISNUMBER($L133),"OVERRIDE","MODEL"))</f>
        <v/>
      </c>
      <c r="Q133">
        <f>IF($A133="","",SETTINGS!$B$6)</f>
        <v/>
      </c>
      <c r="S133">
        <f>IF($A133="","",IF(ISNUMBER($R133),$R133,$Q133))</f>
        <v/>
      </c>
      <c r="W133">
        <f>IF($A133="","",SUMIFS(CLEAN!$AD$6:$AD$1005,CLEAN!$P$6:$P$1005,$A133)+SUMIFS(CLEAN!$AE$6:$AE$1005,CLEAN!$N$6:$N$1005,$A133))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MAP'!$C134)</f>
        <v/>
      </c>
      <c r="D134">
        <f>IF('TEAM MAP'!$A134="","",'TEAM MAP'!$E134)</f>
        <v/>
      </c>
      <c r="E134">
        <f>IF($A134="","",IF(ISNA(MATCH($A134,PRESEASON!$A$6:$A$143,0)),"",IF(INDEX(PRESEASON!$Z$6:$Z$143,MATCH($A134,PRESEASON!$A$6:$A$143,0))="","",INDEX(PRESEASON!$Z$6:$Z$143,MATCH($A134,PRESEASON!$A$6:$A$143,0)))))</f>
        <v/>
      </c>
      <c r="F134">
        <f>IF($A134="","",SUMIFS(CLEAN!$AB$6:$AB$1005,CLEAN!$P$6:$P$1005,$A134)+SUMIFS(CLEAN!$AC$6:$AC$1005,CLEAN!$N$6:$N$1005,$A134))</f>
        <v/>
      </c>
      <c r="G134">
        <f>IF(OR($A134="",$F134=""),"",IF(MIN($F134,9)&gt;=9,SETTINGS!$C$46,INDEX(SETTINGS!$C$37:$C$46,INT(MIN($F134,9))+1)+(MIN($F134,9)-INT(MIN($F134,9)))*(INDEX(SETTINGS!$C$37:$C$46,INT(MIN($F134,9))+2)-INDEX(SETTINGS!$C$37:$C$46,INT(MIN($F134,9))+1))))</f>
        <v/>
      </c>
      <c r="H134">
        <f>IF($A134="","",IF(ISNA(MATCH($A134,CALC!$A$6:$A$143,0)),"",IF(INDEX(CALC!$H$6:$H$143,MATCH($A134,CALC!$A$6:$A$143,0))="","",INDEX(CALC!$H$6:$H$143,MATCH($A134,CALC!$A$6:$A$143,0)))))</f>
        <v/>
      </c>
      <c r="I134">
        <f>IF($E134="","",IF(OR($H134="",$F134=0,$F134=""),$E134,$G134*$E134+(1-$G134)*$H134))</f>
        <v/>
      </c>
      <c r="J134">
        <f>IF(OR($A134="",SETTINGS!$B$4="",SETTINGS!$B$4&lt;=1),"",IF(COUNTIFS(HISTORY!$A$6:$A$3005,SETTINGS!$B$4-1,HISTORY!$B$6:$B$3005,$A134)=1,SUMIFS(HISTORY!$C$6:$C$3005,HISTORY!$A$6:$A$3005,SETTINGS!$B$4-1,HISTORY!$B$6:$B$3005,$A134),""))</f>
        <v/>
      </c>
      <c r="K134">
        <f>IF($I134="","",IF(ISNUMBER($J134),$J134+MAX(-SETTINGS!$B$12,MIN(SETTINGS!$B$12,$I134-$J134)),$I134))</f>
        <v/>
      </c>
      <c r="O134">
        <f>IF($A134="","",IF(ISNUMBER($L134),$L134,IF($K134="","",$K134)))</f>
        <v/>
      </c>
      <c r="P134">
        <f>IF($A134="","",IF(ISNUMBER($L134),"OVERRIDE","MODEL"))</f>
        <v/>
      </c>
      <c r="Q134">
        <f>IF($A134="","",SETTINGS!$B$6)</f>
        <v/>
      </c>
      <c r="S134">
        <f>IF($A134="","",IF(ISNUMBER($R134),$R134,$Q134))</f>
        <v/>
      </c>
      <c r="W134">
        <f>IF($A134="","",SUMIFS(CLEAN!$AD$6:$AD$1005,CLEAN!$P$6:$P$1005,$A134)+SUMIFS(CLEAN!$AE$6:$AE$1005,CLEAN!$N$6:$N$1005,$A134))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MAP'!$C135)</f>
        <v/>
      </c>
      <c r="D135">
        <f>IF('TEAM MAP'!$A135="","",'TEAM MAP'!$E135)</f>
        <v/>
      </c>
      <c r="E135">
        <f>IF($A135="","",IF(ISNA(MATCH($A135,PRESEASON!$A$6:$A$143,0)),"",IF(INDEX(PRESEASON!$Z$6:$Z$143,MATCH($A135,PRESEASON!$A$6:$A$143,0))="","",INDEX(PRESEASON!$Z$6:$Z$143,MATCH($A135,PRESEASON!$A$6:$A$143,0)))))</f>
        <v/>
      </c>
      <c r="F135">
        <f>IF($A135="","",SUMIFS(CLEAN!$AB$6:$AB$1005,CLEAN!$P$6:$P$1005,$A135)+SUMIFS(CLEAN!$AC$6:$AC$1005,CLEAN!$N$6:$N$1005,$A135))</f>
        <v/>
      </c>
      <c r="G135">
        <f>IF(OR($A135="",$F135=""),"",IF(MIN($F135,9)&gt;=9,SETTINGS!$C$46,INDEX(SETTINGS!$C$37:$C$46,INT(MIN($F135,9))+1)+(MIN($F135,9)-INT(MIN($F135,9)))*(INDEX(SETTINGS!$C$37:$C$46,INT(MIN($F135,9))+2)-INDEX(SETTINGS!$C$37:$C$46,INT(MIN($F135,9))+1))))</f>
        <v/>
      </c>
      <c r="H135">
        <f>IF($A135="","",IF(ISNA(MATCH($A135,CALC!$A$6:$A$143,0)),"",IF(INDEX(CALC!$H$6:$H$143,MATCH($A135,CALC!$A$6:$A$143,0))="","",INDEX(CALC!$H$6:$H$143,MATCH($A135,CALC!$A$6:$A$143,0)))))</f>
        <v/>
      </c>
      <c r="I135">
        <f>IF($E135="","",IF(OR($H135="",$F135=0,$F135=""),$E135,$G135*$E135+(1-$G135)*$H135))</f>
        <v/>
      </c>
      <c r="J135">
        <f>IF(OR($A135="",SETTINGS!$B$4="",SETTINGS!$B$4&lt;=1),"",IF(COUNTIFS(HISTORY!$A$6:$A$3005,SETTINGS!$B$4-1,HISTORY!$B$6:$B$3005,$A135)=1,SUMIFS(HISTORY!$C$6:$C$3005,HISTORY!$A$6:$A$3005,SETTINGS!$B$4-1,HISTORY!$B$6:$B$3005,$A135),""))</f>
        <v/>
      </c>
      <c r="K135">
        <f>IF($I135="","",IF(ISNUMBER($J135),$J135+MAX(-SETTINGS!$B$12,MIN(SETTINGS!$B$12,$I135-$J135)),$I135))</f>
        <v/>
      </c>
      <c r="O135">
        <f>IF($A135="","",IF(ISNUMBER($L135),$L135,IF($K135="","",$K135)))</f>
        <v/>
      </c>
      <c r="P135">
        <f>IF($A135="","",IF(ISNUMBER($L135),"OVERRIDE","MODEL"))</f>
        <v/>
      </c>
      <c r="Q135">
        <f>IF($A135="","",SETTINGS!$B$6)</f>
        <v/>
      </c>
      <c r="S135">
        <f>IF($A135="","",IF(ISNUMBER($R135),$R135,$Q135))</f>
        <v/>
      </c>
      <c r="W135">
        <f>IF($A135="","",SUMIFS(CLEAN!$AD$6:$AD$1005,CLEAN!$P$6:$P$1005,$A135)+SUMIFS(CLEAN!$AE$6:$AE$1005,CLEAN!$N$6:$N$1005,$A135))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MAP'!$C136)</f>
        <v/>
      </c>
      <c r="D136">
        <f>IF('TEAM MAP'!$A136="","",'TEAM MAP'!$E136)</f>
        <v/>
      </c>
      <c r="E136">
        <f>IF($A136="","",IF(ISNA(MATCH($A136,PRESEASON!$A$6:$A$143,0)),"",IF(INDEX(PRESEASON!$Z$6:$Z$143,MATCH($A136,PRESEASON!$A$6:$A$143,0))="","",INDEX(PRESEASON!$Z$6:$Z$143,MATCH($A136,PRESEASON!$A$6:$A$143,0)))))</f>
        <v/>
      </c>
      <c r="F136">
        <f>IF($A136="","",SUMIFS(CLEAN!$AB$6:$AB$1005,CLEAN!$P$6:$P$1005,$A136)+SUMIFS(CLEAN!$AC$6:$AC$1005,CLEAN!$N$6:$N$1005,$A136))</f>
        <v/>
      </c>
      <c r="G136">
        <f>IF(OR($A136="",$F136=""),"",IF(MIN($F136,9)&gt;=9,SETTINGS!$C$46,INDEX(SETTINGS!$C$37:$C$46,INT(MIN($F136,9))+1)+(MIN($F136,9)-INT(MIN($F136,9)))*(INDEX(SETTINGS!$C$37:$C$46,INT(MIN($F136,9))+2)-INDEX(SETTINGS!$C$37:$C$46,INT(MIN($F136,9))+1))))</f>
        <v/>
      </c>
      <c r="H136">
        <f>IF($A136="","",IF(ISNA(MATCH($A136,CALC!$A$6:$A$143,0)),"",IF(INDEX(CALC!$H$6:$H$143,MATCH($A136,CALC!$A$6:$A$143,0))="","",INDEX(CALC!$H$6:$H$143,MATCH($A136,CALC!$A$6:$A$143,0)))))</f>
        <v/>
      </c>
      <c r="I136">
        <f>IF($E136="","",IF(OR($H136="",$F136=0,$F136=""),$E136,$G136*$E136+(1-$G136)*$H136))</f>
        <v/>
      </c>
      <c r="J136">
        <f>IF(OR($A136="",SETTINGS!$B$4="",SETTINGS!$B$4&lt;=1),"",IF(COUNTIFS(HISTORY!$A$6:$A$3005,SETTINGS!$B$4-1,HISTORY!$B$6:$B$3005,$A136)=1,SUMIFS(HISTORY!$C$6:$C$3005,HISTORY!$A$6:$A$3005,SETTINGS!$B$4-1,HISTORY!$B$6:$B$3005,$A136),""))</f>
        <v/>
      </c>
      <c r="K136">
        <f>IF($I136="","",IF(ISNUMBER($J136),$J136+MAX(-SETTINGS!$B$12,MIN(SETTINGS!$B$12,$I136-$J136)),$I136))</f>
        <v/>
      </c>
      <c r="O136">
        <f>IF($A136="","",IF(ISNUMBER($L136),$L136,IF($K136="","",$K136)))</f>
        <v/>
      </c>
      <c r="P136">
        <f>IF($A136="","",IF(ISNUMBER($L136),"OVERRIDE","MODEL"))</f>
        <v/>
      </c>
      <c r="Q136">
        <f>IF($A136="","",SETTINGS!$B$6)</f>
        <v/>
      </c>
      <c r="S136">
        <f>IF($A136="","",IF(ISNUMBER($R136),$R136,$Q136))</f>
        <v/>
      </c>
      <c r="W136">
        <f>IF($A136="","",SUMIFS(CLEAN!$AD$6:$AD$1005,CLEAN!$P$6:$P$1005,$A136)+SUMIFS(CLEAN!$AE$6:$AE$1005,CLEAN!$N$6:$N$1005,$A136))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MAP'!$C137)</f>
        <v/>
      </c>
      <c r="D137">
        <f>IF('TEAM MAP'!$A137="","",'TEAM MAP'!$E137)</f>
        <v/>
      </c>
      <c r="E137">
        <f>IF($A137="","",IF(ISNA(MATCH($A137,PRESEASON!$A$6:$A$143,0)),"",IF(INDEX(PRESEASON!$Z$6:$Z$143,MATCH($A137,PRESEASON!$A$6:$A$143,0))="","",INDEX(PRESEASON!$Z$6:$Z$143,MATCH($A137,PRESEASON!$A$6:$A$143,0)))))</f>
        <v/>
      </c>
      <c r="F137">
        <f>IF($A137="","",SUMIFS(CLEAN!$AB$6:$AB$1005,CLEAN!$P$6:$P$1005,$A137)+SUMIFS(CLEAN!$AC$6:$AC$1005,CLEAN!$N$6:$N$1005,$A137))</f>
        <v/>
      </c>
      <c r="G137">
        <f>IF(OR($A137="",$F137=""),"",IF(MIN($F137,9)&gt;=9,SETTINGS!$C$46,INDEX(SETTINGS!$C$37:$C$46,INT(MIN($F137,9))+1)+(MIN($F137,9)-INT(MIN($F137,9)))*(INDEX(SETTINGS!$C$37:$C$46,INT(MIN($F137,9))+2)-INDEX(SETTINGS!$C$37:$C$46,INT(MIN($F137,9))+1))))</f>
        <v/>
      </c>
      <c r="H137">
        <f>IF($A137="","",IF(ISNA(MATCH($A137,CALC!$A$6:$A$143,0)),"",IF(INDEX(CALC!$H$6:$H$143,MATCH($A137,CALC!$A$6:$A$143,0))="","",INDEX(CALC!$H$6:$H$143,MATCH($A137,CALC!$A$6:$A$143,0)))))</f>
        <v/>
      </c>
      <c r="I137">
        <f>IF($E137="","",IF(OR($H137="",$F137=0,$F137=""),$E137,$G137*$E137+(1-$G137)*$H137))</f>
        <v/>
      </c>
      <c r="J137">
        <f>IF(OR($A137="",SETTINGS!$B$4="",SETTINGS!$B$4&lt;=1),"",IF(COUNTIFS(HISTORY!$A$6:$A$3005,SETTINGS!$B$4-1,HISTORY!$B$6:$B$3005,$A137)=1,SUMIFS(HISTORY!$C$6:$C$3005,HISTORY!$A$6:$A$3005,SETTINGS!$B$4-1,HISTORY!$B$6:$B$3005,$A137),""))</f>
        <v/>
      </c>
      <c r="K137">
        <f>IF($I137="","",IF(ISNUMBER($J137),$J137+MAX(-SETTINGS!$B$12,MIN(SETTINGS!$B$12,$I137-$J137)),$I137))</f>
        <v/>
      </c>
      <c r="O137">
        <f>IF($A137="","",IF(ISNUMBER($L137),$L137,IF($K137="","",$K137)))</f>
        <v/>
      </c>
      <c r="P137">
        <f>IF($A137="","",IF(ISNUMBER($L137),"OVERRIDE","MODEL"))</f>
        <v/>
      </c>
      <c r="Q137">
        <f>IF($A137="","",SETTINGS!$B$6)</f>
        <v/>
      </c>
      <c r="S137">
        <f>IF($A137="","",IF(ISNUMBER($R137),$R137,$Q137))</f>
        <v/>
      </c>
      <c r="W137">
        <f>IF($A137="","",SUMIFS(CLEAN!$AD$6:$AD$1005,CLEAN!$P$6:$P$1005,$A137)+SUMIFS(CLEAN!$AE$6:$AE$1005,CLEAN!$N$6:$N$1005,$A137))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MAP'!$C138)</f>
        <v/>
      </c>
      <c r="D138">
        <f>IF('TEAM MAP'!$A138="","",'TEAM MAP'!$E138)</f>
        <v/>
      </c>
      <c r="E138">
        <f>IF($A138="","",IF(ISNA(MATCH($A138,PRESEASON!$A$6:$A$143,0)),"",IF(INDEX(PRESEASON!$Z$6:$Z$143,MATCH($A138,PRESEASON!$A$6:$A$143,0))="","",INDEX(PRESEASON!$Z$6:$Z$143,MATCH($A138,PRESEASON!$A$6:$A$143,0)))))</f>
        <v/>
      </c>
      <c r="F138">
        <f>IF($A138="","",SUMIFS(CLEAN!$AB$6:$AB$1005,CLEAN!$P$6:$P$1005,$A138)+SUMIFS(CLEAN!$AC$6:$AC$1005,CLEAN!$N$6:$N$1005,$A138))</f>
        <v/>
      </c>
      <c r="G138">
        <f>IF(OR($A138="",$F138=""),"",IF(MIN($F138,9)&gt;=9,SETTINGS!$C$46,INDEX(SETTINGS!$C$37:$C$46,INT(MIN($F138,9))+1)+(MIN($F138,9)-INT(MIN($F138,9)))*(INDEX(SETTINGS!$C$37:$C$46,INT(MIN($F138,9))+2)-INDEX(SETTINGS!$C$37:$C$46,INT(MIN($F138,9))+1))))</f>
        <v/>
      </c>
      <c r="H138">
        <f>IF($A138="","",IF(ISNA(MATCH($A138,CALC!$A$6:$A$143,0)),"",IF(INDEX(CALC!$H$6:$H$143,MATCH($A138,CALC!$A$6:$A$143,0))="","",INDEX(CALC!$H$6:$H$143,MATCH($A138,CALC!$A$6:$A$143,0)))))</f>
        <v/>
      </c>
      <c r="I138">
        <f>IF($E138="","",IF(OR($H138="",$F138=0,$F138=""),$E138,$G138*$E138+(1-$G138)*$H138))</f>
        <v/>
      </c>
      <c r="J138">
        <f>IF(OR($A138="",SETTINGS!$B$4="",SETTINGS!$B$4&lt;=1),"",IF(COUNTIFS(HISTORY!$A$6:$A$3005,SETTINGS!$B$4-1,HISTORY!$B$6:$B$3005,$A138)=1,SUMIFS(HISTORY!$C$6:$C$3005,HISTORY!$A$6:$A$3005,SETTINGS!$B$4-1,HISTORY!$B$6:$B$3005,$A138),""))</f>
        <v/>
      </c>
      <c r="K138">
        <f>IF($I138="","",IF(ISNUMBER($J138),$J138+MAX(-SETTINGS!$B$12,MIN(SETTINGS!$B$12,$I138-$J138)),$I138))</f>
        <v/>
      </c>
      <c r="O138">
        <f>IF($A138="","",IF(ISNUMBER($L138),$L138,IF($K138="","",$K138)))</f>
        <v/>
      </c>
      <c r="P138">
        <f>IF($A138="","",IF(ISNUMBER($L138),"OVERRIDE","MODEL"))</f>
        <v/>
      </c>
      <c r="Q138">
        <f>IF($A138="","",SETTINGS!$B$6)</f>
        <v/>
      </c>
      <c r="S138">
        <f>IF($A138="","",IF(ISNUMBER($R138),$R138,$Q138))</f>
        <v/>
      </c>
      <c r="W138">
        <f>IF($A138="","",SUMIFS(CLEAN!$AD$6:$AD$1005,CLEAN!$P$6:$P$1005,$A138)+SUMIFS(CLEAN!$AE$6:$AE$1005,CLEAN!$N$6:$N$1005,$A138))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MAP'!$C139)</f>
        <v/>
      </c>
      <c r="D139">
        <f>IF('TEAM MAP'!$A139="","",'TEAM MAP'!$E139)</f>
        <v/>
      </c>
      <c r="E139">
        <f>IF($A139="","",IF(ISNA(MATCH($A139,PRESEASON!$A$6:$A$143,0)),"",IF(INDEX(PRESEASON!$Z$6:$Z$143,MATCH($A139,PRESEASON!$A$6:$A$143,0))="","",INDEX(PRESEASON!$Z$6:$Z$143,MATCH($A139,PRESEASON!$A$6:$A$143,0)))))</f>
        <v/>
      </c>
      <c r="F139">
        <f>IF($A139="","",SUMIFS(CLEAN!$AB$6:$AB$1005,CLEAN!$P$6:$P$1005,$A139)+SUMIFS(CLEAN!$AC$6:$AC$1005,CLEAN!$N$6:$N$1005,$A139))</f>
        <v/>
      </c>
      <c r="G139">
        <f>IF(OR($A139="",$F139=""),"",IF(MIN($F139,9)&gt;=9,SETTINGS!$C$46,INDEX(SETTINGS!$C$37:$C$46,INT(MIN($F139,9))+1)+(MIN($F139,9)-INT(MIN($F139,9)))*(INDEX(SETTINGS!$C$37:$C$46,INT(MIN($F139,9))+2)-INDEX(SETTINGS!$C$37:$C$46,INT(MIN($F139,9))+1))))</f>
        <v/>
      </c>
      <c r="H139">
        <f>IF($A139="","",IF(ISNA(MATCH($A139,CALC!$A$6:$A$143,0)),"",IF(INDEX(CALC!$H$6:$H$143,MATCH($A139,CALC!$A$6:$A$143,0))="","",INDEX(CALC!$H$6:$H$143,MATCH($A139,CALC!$A$6:$A$143,0)))))</f>
        <v/>
      </c>
      <c r="I139">
        <f>IF($E139="","",IF(OR($H139="",$F139=0,$F139=""),$E139,$G139*$E139+(1-$G139)*$H139))</f>
        <v/>
      </c>
      <c r="J139">
        <f>IF(OR($A139="",SETTINGS!$B$4="",SETTINGS!$B$4&lt;=1),"",IF(COUNTIFS(HISTORY!$A$6:$A$3005,SETTINGS!$B$4-1,HISTORY!$B$6:$B$3005,$A139)=1,SUMIFS(HISTORY!$C$6:$C$3005,HISTORY!$A$6:$A$3005,SETTINGS!$B$4-1,HISTORY!$B$6:$B$3005,$A139),""))</f>
        <v/>
      </c>
      <c r="K139">
        <f>IF($I139="","",IF(ISNUMBER($J139),$J139+MAX(-SETTINGS!$B$12,MIN(SETTINGS!$B$12,$I139-$J139)),$I139))</f>
        <v/>
      </c>
      <c r="O139">
        <f>IF($A139="","",IF(ISNUMBER($L139),$L139,IF($K139="","",$K139)))</f>
        <v/>
      </c>
      <c r="P139">
        <f>IF($A139="","",IF(ISNUMBER($L139),"OVERRIDE","MODEL"))</f>
        <v/>
      </c>
      <c r="Q139">
        <f>IF($A139="","",SETTINGS!$B$6)</f>
        <v/>
      </c>
      <c r="S139">
        <f>IF($A139="","",IF(ISNUMBER($R139),$R139,$Q139))</f>
        <v/>
      </c>
      <c r="W139">
        <f>IF($A139="","",SUMIFS(CLEAN!$AD$6:$AD$1005,CLEAN!$P$6:$P$1005,$A139)+SUMIFS(CLEAN!$AE$6:$AE$1005,CLEAN!$N$6:$N$1005,$A139))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MAP'!$C140)</f>
        <v/>
      </c>
      <c r="D140">
        <f>IF('TEAM MAP'!$A140="","",'TEAM MAP'!$E140)</f>
        <v/>
      </c>
      <c r="E140">
        <f>IF($A140="","",IF(ISNA(MATCH($A140,PRESEASON!$A$6:$A$143,0)),"",IF(INDEX(PRESEASON!$Z$6:$Z$143,MATCH($A140,PRESEASON!$A$6:$A$143,0))="","",INDEX(PRESEASON!$Z$6:$Z$143,MATCH($A140,PRESEASON!$A$6:$A$143,0)))))</f>
        <v/>
      </c>
      <c r="F140">
        <f>IF($A140="","",SUMIFS(CLEAN!$AB$6:$AB$1005,CLEAN!$P$6:$P$1005,$A140)+SUMIFS(CLEAN!$AC$6:$AC$1005,CLEAN!$N$6:$N$1005,$A140))</f>
        <v/>
      </c>
      <c r="G140">
        <f>IF(OR($A140="",$F140=""),"",IF(MIN($F140,9)&gt;=9,SETTINGS!$C$46,INDEX(SETTINGS!$C$37:$C$46,INT(MIN($F140,9))+1)+(MIN($F140,9)-INT(MIN($F140,9)))*(INDEX(SETTINGS!$C$37:$C$46,INT(MIN($F140,9))+2)-INDEX(SETTINGS!$C$37:$C$46,INT(MIN($F140,9))+1))))</f>
        <v/>
      </c>
      <c r="H140">
        <f>IF($A140="","",IF(ISNA(MATCH($A140,CALC!$A$6:$A$143,0)),"",IF(INDEX(CALC!$H$6:$H$143,MATCH($A140,CALC!$A$6:$A$143,0))="","",INDEX(CALC!$H$6:$H$143,MATCH($A140,CALC!$A$6:$A$143,0)))))</f>
        <v/>
      </c>
      <c r="I140">
        <f>IF($E140="","",IF(OR($H140="",$F140=0,$F140=""),$E140,$G140*$E140+(1-$G140)*$H140))</f>
        <v/>
      </c>
      <c r="J140">
        <f>IF(OR($A140="",SETTINGS!$B$4="",SETTINGS!$B$4&lt;=1),"",IF(COUNTIFS(HISTORY!$A$6:$A$3005,SETTINGS!$B$4-1,HISTORY!$B$6:$B$3005,$A140)=1,SUMIFS(HISTORY!$C$6:$C$3005,HISTORY!$A$6:$A$3005,SETTINGS!$B$4-1,HISTORY!$B$6:$B$3005,$A140),""))</f>
        <v/>
      </c>
      <c r="K140">
        <f>IF($I140="","",IF(ISNUMBER($J140),$J140+MAX(-SETTINGS!$B$12,MIN(SETTINGS!$B$12,$I140-$J140)),$I140))</f>
        <v/>
      </c>
      <c r="O140">
        <f>IF($A140="","",IF(ISNUMBER($L140),$L140,IF($K140="","",$K140)))</f>
        <v/>
      </c>
      <c r="P140">
        <f>IF($A140="","",IF(ISNUMBER($L140),"OVERRIDE","MODEL"))</f>
        <v/>
      </c>
      <c r="Q140">
        <f>IF($A140="","",SETTINGS!$B$6)</f>
        <v/>
      </c>
      <c r="S140">
        <f>IF($A140="","",IF(ISNUMBER($R140),$R140,$Q140))</f>
        <v/>
      </c>
      <c r="W140">
        <f>IF($A140="","",SUMIFS(CLEAN!$AD$6:$AD$1005,CLEAN!$P$6:$P$1005,$A140)+SUMIFS(CLEAN!$AE$6:$AE$1005,CLEAN!$N$6:$N$1005,$A140))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MAP'!$C141)</f>
        <v/>
      </c>
      <c r="D141">
        <f>IF('TEAM MAP'!$A141="","",'TEAM MAP'!$E141)</f>
        <v/>
      </c>
      <c r="E141">
        <f>IF($A141="","",IF(ISNA(MATCH($A141,PRESEASON!$A$6:$A$143,0)),"",IF(INDEX(PRESEASON!$Z$6:$Z$143,MATCH($A141,PRESEASON!$A$6:$A$143,0))="","",INDEX(PRESEASON!$Z$6:$Z$143,MATCH($A141,PRESEASON!$A$6:$A$143,0)))))</f>
        <v/>
      </c>
      <c r="F141">
        <f>IF($A141="","",SUMIFS(CLEAN!$AB$6:$AB$1005,CLEAN!$P$6:$P$1005,$A141)+SUMIFS(CLEAN!$AC$6:$AC$1005,CLEAN!$N$6:$N$1005,$A141))</f>
        <v/>
      </c>
      <c r="G141">
        <f>IF(OR($A141="",$F141=""),"",IF(MIN($F141,9)&gt;=9,SETTINGS!$C$46,INDEX(SETTINGS!$C$37:$C$46,INT(MIN($F141,9))+1)+(MIN($F141,9)-INT(MIN($F141,9)))*(INDEX(SETTINGS!$C$37:$C$46,INT(MIN($F141,9))+2)-INDEX(SETTINGS!$C$37:$C$46,INT(MIN($F141,9))+1))))</f>
        <v/>
      </c>
      <c r="H141">
        <f>IF($A141="","",IF(ISNA(MATCH($A141,CALC!$A$6:$A$143,0)),"",IF(INDEX(CALC!$H$6:$H$143,MATCH($A141,CALC!$A$6:$A$143,0))="","",INDEX(CALC!$H$6:$H$143,MATCH($A141,CALC!$A$6:$A$143,0)))))</f>
        <v/>
      </c>
      <c r="I141">
        <f>IF($E141="","",IF(OR($H141="",$F141=0,$F141=""),$E141,$G141*$E141+(1-$G141)*$H141))</f>
        <v/>
      </c>
      <c r="J141">
        <f>IF(OR($A141="",SETTINGS!$B$4="",SETTINGS!$B$4&lt;=1),"",IF(COUNTIFS(HISTORY!$A$6:$A$3005,SETTINGS!$B$4-1,HISTORY!$B$6:$B$3005,$A141)=1,SUMIFS(HISTORY!$C$6:$C$3005,HISTORY!$A$6:$A$3005,SETTINGS!$B$4-1,HISTORY!$B$6:$B$3005,$A141),""))</f>
        <v/>
      </c>
      <c r="K141">
        <f>IF($I141="","",IF(ISNUMBER($J141),$J141+MAX(-SETTINGS!$B$12,MIN(SETTINGS!$B$12,$I141-$J141)),$I141))</f>
        <v/>
      </c>
      <c r="O141">
        <f>IF($A141="","",IF(ISNUMBER($L141),$L141,IF($K141="","",$K141)))</f>
        <v/>
      </c>
      <c r="P141">
        <f>IF($A141="","",IF(ISNUMBER($L141),"OVERRIDE","MODEL"))</f>
        <v/>
      </c>
      <c r="Q141">
        <f>IF($A141="","",SETTINGS!$B$6)</f>
        <v/>
      </c>
      <c r="S141">
        <f>IF($A141="","",IF(ISNUMBER($R141),$R141,$Q141))</f>
        <v/>
      </c>
      <c r="W141">
        <f>IF($A141="","",SUMIFS(CLEAN!$AD$6:$AD$1005,CLEAN!$P$6:$P$1005,$A141)+SUMIFS(CLEAN!$AE$6:$AE$1005,CLEAN!$N$6:$N$1005,$A141))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MAP'!$C142)</f>
        <v/>
      </c>
      <c r="D142">
        <f>IF('TEAM MAP'!$A142="","",'TEAM MAP'!$E142)</f>
        <v/>
      </c>
      <c r="E142">
        <f>IF($A142="","",IF(ISNA(MATCH($A142,PRESEASON!$A$6:$A$143,0)),"",IF(INDEX(PRESEASON!$Z$6:$Z$143,MATCH($A142,PRESEASON!$A$6:$A$143,0))="","",INDEX(PRESEASON!$Z$6:$Z$143,MATCH($A142,PRESEASON!$A$6:$A$143,0)))))</f>
        <v/>
      </c>
      <c r="F142">
        <f>IF($A142="","",SUMIFS(CLEAN!$AB$6:$AB$1005,CLEAN!$P$6:$P$1005,$A142)+SUMIFS(CLEAN!$AC$6:$AC$1005,CLEAN!$N$6:$N$1005,$A142))</f>
        <v/>
      </c>
      <c r="G142">
        <f>IF(OR($A142="",$F142=""),"",IF(MIN($F142,9)&gt;=9,SETTINGS!$C$46,INDEX(SETTINGS!$C$37:$C$46,INT(MIN($F142,9))+1)+(MIN($F142,9)-INT(MIN($F142,9)))*(INDEX(SETTINGS!$C$37:$C$46,INT(MIN($F142,9))+2)-INDEX(SETTINGS!$C$37:$C$46,INT(MIN($F142,9))+1))))</f>
        <v/>
      </c>
      <c r="H142">
        <f>IF($A142="","",IF(ISNA(MATCH($A142,CALC!$A$6:$A$143,0)),"",IF(INDEX(CALC!$H$6:$H$143,MATCH($A142,CALC!$A$6:$A$143,0))="","",INDEX(CALC!$H$6:$H$143,MATCH($A142,CALC!$A$6:$A$143,0)))))</f>
        <v/>
      </c>
      <c r="I142">
        <f>IF($E142="","",IF(OR($H142="",$F142=0,$F142=""),$E142,$G142*$E142+(1-$G142)*$H142))</f>
        <v/>
      </c>
      <c r="J142">
        <f>IF(OR($A142="",SETTINGS!$B$4="",SETTINGS!$B$4&lt;=1),"",IF(COUNTIFS(HISTORY!$A$6:$A$3005,SETTINGS!$B$4-1,HISTORY!$B$6:$B$3005,$A142)=1,SUMIFS(HISTORY!$C$6:$C$3005,HISTORY!$A$6:$A$3005,SETTINGS!$B$4-1,HISTORY!$B$6:$B$3005,$A142),""))</f>
        <v/>
      </c>
      <c r="K142">
        <f>IF($I142="","",IF(ISNUMBER($J142),$J142+MAX(-SETTINGS!$B$12,MIN(SETTINGS!$B$12,$I142-$J142)),$I142))</f>
        <v/>
      </c>
      <c r="O142">
        <f>IF($A142="","",IF(ISNUMBER($L142),$L142,IF($K142="","",$K142)))</f>
        <v/>
      </c>
      <c r="P142">
        <f>IF($A142="","",IF(ISNUMBER($L142),"OVERRIDE","MODEL"))</f>
        <v/>
      </c>
      <c r="Q142">
        <f>IF($A142="","",SETTINGS!$B$6)</f>
        <v/>
      </c>
      <c r="S142">
        <f>IF($A142="","",IF(ISNUMBER($R142),$R142,$Q142))</f>
        <v/>
      </c>
      <c r="W142">
        <f>IF($A142="","",SUMIFS(CLEAN!$AD$6:$AD$1005,CLEAN!$P$6:$P$1005,$A142)+SUMIFS(CLEAN!$AE$6:$AE$1005,CLEAN!$N$6:$N$1005,$A142))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MAP'!$C143)</f>
        <v/>
      </c>
      <c r="D143">
        <f>IF('TEAM MAP'!$A143="","",'TEAM MAP'!$E143)</f>
        <v/>
      </c>
      <c r="E143">
        <f>IF($A143="","",IF(ISNA(MATCH($A143,PRESEASON!$A$6:$A$143,0)),"",IF(INDEX(PRESEASON!$Z$6:$Z$143,MATCH($A143,PRESEASON!$A$6:$A$143,0))="","",INDEX(PRESEASON!$Z$6:$Z$143,MATCH($A143,PRESEASON!$A$6:$A$143,0)))))</f>
        <v/>
      </c>
      <c r="F143">
        <f>IF($A143="","",SUMIFS(CLEAN!$AB$6:$AB$1005,CLEAN!$P$6:$P$1005,$A143)+SUMIFS(CLEAN!$AC$6:$AC$1005,CLEAN!$N$6:$N$1005,$A143))</f>
        <v/>
      </c>
      <c r="G143">
        <f>IF(OR($A143="",$F143=""),"",IF(MIN($F143,9)&gt;=9,SETTINGS!$C$46,INDEX(SETTINGS!$C$37:$C$46,INT(MIN($F143,9))+1)+(MIN($F143,9)-INT(MIN($F143,9)))*(INDEX(SETTINGS!$C$37:$C$46,INT(MIN($F143,9))+2)-INDEX(SETTINGS!$C$37:$C$46,INT(MIN($F143,9))+1))))</f>
        <v/>
      </c>
      <c r="H143">
        <f>IF($A143="","",IF(ISNA(MATCH($A143,CALC!$A$6:$A$143,0)),"",IF(INDEX(CALC!$H$6:$H$143,MATCH($A143,CALC!$A$6:$A$143,0))="","",INDEX(CALC!$H$6:$H$143,MATCH($A143,CALC!$A$6:$A$143,0)))))</f>
        <v/>
      </c>
      <c r="I143">
        <f>IF($E143="","",IF(OR($H143="",$F143=0,$F143=""),$E143,$G143*$E143+(1-$G143)*$H143))</f>
        <v/>
      </c>
      <c r="J143">
        <f>IF(OR($A143="",SETTINGS!$B$4="",SETTINGS!$B$4&lt;=1),"",IF(COUNTIFS(HISTORY!$A$6:$A$3005,SETTINGS!$B$4-1,HISTORY!$B$6:$B$3005,$A143)=1,SUMIFS(HISTORY!$C$6:$C$3005,HISTORY!$A$6:$A$3005,SETTINGS!$B$4-1,HISTORY!$B$6:$B$3005,$A143),""))</f>
        <v/>
      </c>
      <c r="K143">
        <f>IF($I143="","",IF(ISNUMBER($J143),$J143+MAX(-SETTINGS!$B$12,MIN(SETTINGS!$B$12,$I143-$J143)),$I143))</f>
        <v/>
      </c>
      <c r="O143">
        <f>IF($A143="","",IF(ISNUMBER($L143),$L143,IF($K143="","",$K143)))</f>
        <v/>
      </c>
      <c r="P143">
        <f>IF($A143="","",IF(ISNUMBER($L143),"OVERRIDE","MODEL"))</f>
        <v/>
      </c>
      <c r="Q143">
        <f>IF($A143="","",SETTINGS!$B$6)</f>
        <v/>
      </c>
      <c r="S143">
        <f>IF($A143="","",IF(ISNUMBER($R143),$R143,$Q143))</f>
        <v/>
      </c>
      <c r="W143">
        <f>IF($A143="","",SUMIFS(CLEAN!$AD$6:$AD$1005,CLEAN!$P$6:$P$1005,$A143)+SUMIFS(CLEAN!$AE$6:$AE$1005,CLEAN!$N$6:$N$1005,$A143))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M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IF('TEAM RATINGS'!$A6="","",'TEAM RATINGS'!$B6)</f>
        <v/>
      </c>
      <c r="G6">
        <f>IF(OR($D6="",$F6=""),"",$F6-$D6)</f>
        <v/>
      </c>
      <c r="M6">
        <f>IF($A6="","",IF(OR($G6="",$H6="L",$J6&lt;&gt;SETTINGS!$B$3),"UNCERTAIN","OK"))</f>
        <v/>
      </c>
    </row>
    <row r="7">
      <c r="A7">
        <f>IF('TEAM RATINGS'!$A7="","",'TEAM RATINGS'!$A7)</f>
        <v/>
      </c>
      <c r="B7">
        <f>IF('TEAM RATINGS'!$A7="","",'TEAM RATINGS'!$B7)</f>
        <v/>
      </c>
      <c r="G7">
        <f>IF(OR($D7="",$F7=""),"",$F7-$D7)</f>
        <v/>
      </c>
      <c r="M7">
        <f>IF($A7="","",IF(OR($G7="",$H7="L",$J7&lt;&gt;SETTINGS!$B$3),"UNCERTAIN","OK"))</f>
        <v/>
      </c>
    </row>
    <row r="8">
      <c r="A8">
        <f>IF('TEAM RATINGS'!$A8="","",'TEAM RATINGS'!$A8)</f>
        <v/>
      </c>
      <c r="B8">
        <f>IF('TEAM RATINGS'!$A8="","",'TEAM RATINGS'!$B8)</f>
        <v/>
      </c>
      <c r="G8">
        <f>IF(OR($D8="",$F8=""),"",$F8-$D8)</f>
        <v/>
      </c>
      <c r="M8">
        <f>IF($A8="","",IF(OR($G8="",$H8="L",$J8&lt;&gt;SETTINGS!$B$3),"UNCERTAIN","OK"))</f>
        <v/>
      </c>
    </row>
    <row r="9">
      <c r="A9">
        <f>IF('TEAM RATINGS'!$A9="","",'TEAM RATINGS'!$A9)</f>
        <v/>
      </c>
      <c r="B9">
        <f>IF('TEAM RATINGS'!$A9="","",'TEAM RATINGS'!$B9)</f>
        <v/>
      </c>
      <c r="G9">
        <f>IF(OR($D9="",$F9=""),"",$F9-$D9)</f>
        <v/>
      </c>
      <c r="M9">
        <f>IF($A9="","",IF(OR($G9="",$H9="L",$J9&lt;&gt;SETTINGS!$B$3),"UNCERTAIN","OK"))</f>
        <v/>
      </c>
    </row>
    <row r="10">
      <c r="A10">
        <f>IF('TEAM RATINGS'!$A10="","",'TEAM RATINGS'!$A10)</f>
        <v/>
      </c>
      <c r="B10">
        <f>IF('TEAM RATINGS'!$A10="","",'TEAM RATINGS'!$B10)</f>
        <v/>
      </c>
      <c r="G10">
        <f>IF(OR($D10="",$F10=""),"",$F10-$D10)</f>
        <v/>
      </c>
      <c r="M10">
        <f>IF($A10="","",IF(OR($G10="",$H10="L",$J10&lt;&gt;SETTINGS!$B$3),"UNCERTAIN","OK"))</f>
        <v/>
      </c>
    </row>
    <row r="11">
      <c r="A11">
        <f>IF('TEAM RATINGS'!$A11="","",'TEAM RATINGS'!$A11)</f>
        <v/>
      </c>
      <c r="B11">
        <f>IF('TEAM RATINGS'!$A11="","",'TEAM RATINGS'!$B11)</f>
        <v/>
      </c>
      <c r="G11">
        <f>IF(OR($D11="",$F11=""),"",$F11-$D11)</f>
        <v/>
      </c>
      <c r="M11">
        <f>IF($A11="","",IF(OR($G11="",$H11="L",$J11&lt;&gt;SETTINGS!$B$3),"UNCERTAIN","OK"))</f>
        <v/>
      </c>
    </row>
    <row r="12">
      <c r="A12">
        <f>IF('TEAM RATINGS'!$A12="","",'TEAM RATINGS'!$A12)</f>
        <v/>
      </c>
      <c r="B12">
        <f>IF('TEAM RATINGS'!$A12="","",'TEAM RATINGS'!$B12)</f>
        <v/>
      </c>
      <c r="G12">
        <f>IF(OR($D12="",$F12=""),"",$F12-$D12)</f>
        <v/>
      </c>
      <c r="M12">
        <f>IF($A12="","",IF(OR($G12="",$H12="L",$J12&lt;&gt;SETTINGS!$B$3),"UNCERTAIN","OK"))</f>
        <v/>
      </c>
    </row>
    <row r="13">
      <c r="A13">
        <f>IF('TEAM RATINGS'!$A13="","",'TEAM RATINGS'!$A13)</f>
        <v/>
      </c>
      <c r="B13">
        <f>IF('TEAM RATINGS'!$A13="","",'TEAM RATINGS'!$B13)</f>
        <v/>
      </c>
      <c r="G13">
        <f>IF(OR($D13="",$F13=""),"",$F13-$D13)</f>
        <v/>
      </c>
      <c r="M13">
        <f>IF($A13="","",IF(OR($G13="",$H13="L",$J13&lt;&gt;SETTINGS!$B$3),"UNCERTAIN","OK"))</f>
        <v/>
      </c>
    </row>
    <row r="14">
      <c r="A14">
        <f>IF('TEAM RATINGS'!$A14="","",'TEAM RATINGS'!$A14)</f>
        <v/>
      </c>
      <c r="B14">
        <f>IF('TEAM RATINGS'!$A14="","",'TEAM RATINGS'!$B14)</f>
        <v/>
      </c>
      <c r="G14">
        <f>IF(OR($D14="",$F14=""),"",$F14-$D14)</f>
        <v/>
      </c>
      <c r="M14">
        <f>IF($A14="","",IF(OR($G14="",$H14="L",$J14&lt;&gt;SETTINGS!$B$3),"UNCERTAIN","OK"))</f>
        <v/>
      </c>
    </row>
    <row r="15">
      <c r="A15">
        <f>IF('TEAM RATINGS'!$A15="","",'TEAM RATINGS'!$A15)</f>
        <v/>
      </c>
      <c r="B15">
        <f>IF('TEAM RATINGS'!$A15="","",'TEAM RATINGS'!$B15)</f>
        <v/>
      </c>
      <c r="G15">
        <f>IF(OR($D15="",$F15=""),"",$F15-$D15)</f>
        <v/>
      </c>
      <c r="M15">
        <f>IF($A15="","",IF(OR($G15="",$H15="L",$J15&lt;&gt;SETTINGS!$B$3),"UNCERTAIN","OK"))</f>
        <v/>
      </c>
    </row>
    <row r="16">
      <c r="A16">
        <f>IF('TEAM RATINGS'!$A16="","",'TEAM RATINGS'!$A16)</f>
        <v/>
      </c>
      <c r="B16">
        <f>IF('TEAM RATINGS'!$A16="","",'TEAM RATINGS'!$B16)</f>
        <v/>
      </c>
      <c r="G16">
        <f>IF(OR($D16="",$F16=""),"",$F16-$D16)</f>
        <v/>
      </c>
      <c r="M16">
        <f>IF($A16="","",IF(OR($G16="",$H16="L",$J16&lt;&gt;SETTINGS!$B$3),"UNCERTAIN","OK"))</f>
        <v/>
      </c>
    </row>
    <row r="17">
      <c r="A17">
        <f>IF('TEAM RATINGS'!$A17="","",'TEAM RATINGS'!$A17)</f>
        <v/>
      </c>
      <c r="B17">
        <f>IF('TEAM RATINGS'!$A17="","",'TEAM RATINGS'!$B17)</f>
        <v/>
      </c>
      <c r="G17">
        <f>IF(OR($D17="",$F17=""),"",$F17-$D17)</f>
        <v/>
      </c>
      <c r="M17">
        <f>IF($A17="","",IF(OR($G17="",$H17="L",$J17&lt;&gt;SETTINGS!$B$3),"UNCERTAIN","OK"))</f>
        <v/>
      </c>
    </row>
    <row r="18">
      <c r="A18">
        <f>IF('TEAM RATINGS'!$A18="","",'TEAM RATINGS'!$A18)</f>
        <v/>
      </c>
      <c r="B18">
        <f>IF('TEAM RATINGS'!$A18="","",'TEAM RATINGS'!$B18)</f>
        <v/>
      </c>
      <c r="G18">
        <f>IF(OR($D18="",$F18=""),"",$F18-$D18)</f>
        <v/>
      </c>
      <c r="M18">
        <f>IF($A18="","",IF(OR($G18="",$H18="L",$J18&lt;&gt;SETTINGS!$B$3),"UNCERTAIN","OK"))</f>
        <v/>
      </c>
    </row>
    <row r="19">
      <c r="A19">
        <f>IF('TEAM RATINGS'!$A19="","",'TEAM RATINGS'!$A19)</f>
        <v/>
      </c>
      <c r="B19">
        <f>IF('TEAM RATINGS'!$A19="","",'TEAM RATINGS'!$B19)</f>
        <v/>
      </c>
      <c r="G19">
        <f>IF(OR($D19="",$F19=""),"",$F19-$D19)</f>
        <v/>
      </c>
      <c r="M19">
        <f>IF($A19="","",IF(OR($G19="",$H19="L",$J19&lt;&gt;SETTINGS!$B$3),"UNCERTAIN","OK"))</f>
        <v/>
      </c>
    </row>
    <row r="20">
      <c r="A20">
        <f>IF('TEAM RATINGS'!$A20="","",'TEAM RATINGS'!$A20)</f>
        <v/>
      </c>
      <c r="B20">
        <f>IF('TEAM RATINGS'!$A20="","",'TEAM RATINGS'!$B20)</f>
        <v/>
      </c>
      <c r="G20">
        <f>IF(OR($D20="",$F20=""),"",$F20-$D20)</f>
        <v/>
      </c>
      <c r="M20">
        <f>IF($A20="","",IF(OR($G20="",$H20="L",$J20&lt;&gt;SETTINGS!$B$3),"UNCERTAIN","OK"))</f>
        <v/>
      </c>
    </row>
    <row r="21">
      <c r="A21">
        <f>IF('TEAM RATINGS'!$A21="","",'TEAM RATINGS'!$A21)</f>
        <v/>
      </c>
      <c r="B21">
        <f>IF('TEAM RATINGS'!$A21="","",'TEAM RATINGS'!$B21)</f>
        <v/>
      </c>
      <c r="G21">
        <f>IF(OR($D21="",$F21=""),"",$F21-$D21)</f>
        <v/>
      </c>
      <c r="M21">
        <f>IF($A21="","",IF(OR($G21="",$H21="L",$J21&lt;&gt;SETTINGS!$B$3),"UNCERTAIN","OK"))</f>
        <v/>
      </c>
    </row>
    <row r="22">
      <c r="A22">
        <f>IF('TEAM RATINGS'!$A22="","",'TEAM RATINGS'!$A22)</f>
        <v/>
      </c>
      <c r="B22">
        <f>IF('TEAM RATINGS'!$A22="","",'TEAM RATINGS'!$B22)</f>
        <v/>
      </c>
      <c r="G22">
        <f>IF(OR($D22="",$F22=""),"",$F22-$D22)</f>
        <v/>
      </c>
      <c r="M22">
        <f>IF($A22="","",IF(OR($G22="",$H22="L",$J22&lt;&gt;SETTINGS!$B$3),"UNCERTAIN","OK"))</f>
        <v/>
      </c>
    </row>
    <row r="23">
      <c r="A23">
        <f>IF('TEAM RATINGS'!$A23="","",'TEAM RATINGS'!$A23)</f>
        <v/>
      </c>
      <c r="B23">
        <f>IF('TEAM RATINGS'!$A23="","",'TEAM RATINGS'!$B23)</f>
        <v/>
      </c>
      <c r="G23">
        <f>IF(OR($D23="",$F23=""),"",$F23-$D23)</f>
        <v/>
      </c>
      <c r="M23">
        <f>IF($A23="","",IF(OR($G23="",$H23="L",$J23&lt;&gt;SETTINGS!$B$3),"UNCERTAIN","OK"))</f>
        <v/>
      </c>
    </row>
    <row r="24">
      <c r="A24">
        <f>IF('TEAM RATINGS'!$A24="","",'TEAM RATINGS'!$A24)</f>
        <v/>
      </c>
      <c r="B24">
        <f>IF('TEAM RATINGS'!$A24="","",'TEAM RATINGS'!$B24)</f>
        <v/>
      </c>
      <c r="G24">
        <f>IF(OR($D24="",$F24=""),"",$F24-$D24)</f>
        <v/>
      </c>
      <c r="M24">
        <f>IF($A24="","",IF(OR($G24="",$H24="L",$J24&lt;&gt;SETTINGS!$B$3),"UNCERTAIN","OK"))</f>
        <v/>
      </c>
    </row>
    <row r="25">
      <c r="A25">
        <f>IF('TEAM RATINGS'!$A25="","",'TEAM RATINGS'!$A25)</f>
        <v/>
      </c>
      <c r="B25">
        <f>IF('TEAM RATINGS'!$A25="","",'TEAM RATINGS'!$B25)</f>
        <v/>
      </c>
      <c r="G25">
        <f>IF(OR($D25="",$F25=""),"",$F25-$D25)</f>
        <v/>
      </c>
      <c r="M25">
        <f>IF($A25="","",IF(OR($G25="",$H25="L",$J25&lt;&gt;SETTINGS!$B$3),"UNCERTAIN","OK"))</f>
        <v/>
      </c>
    </row>
    <row r="26">
      <c r="A26">
        <f>IF('TEAM RATINGS'!$A26="","",'TEAM RATINGS'!$A26)</f>
        <v/>
      </c>
      <c r="B26">
        <f>IF('TEAM RATINGS'!$A26="","",'TEAM RATINGS'!$B26)</f>
        <v/>
      </c>
      <c r="G26">
        <f>IF(OR($D26="",$F26=""),"",$F26-$D26)</f>
        <v/>
      </c>
      <c r="M26">
        <f>IF($A26="","",IF(OR($G26="",$H26="L",$J26&lt;&gt;SETTINGS!$B$3),"UNCERTAIN","OK"))</f>
        <v/>
      </c>
    </row>
    <row r="27">
      <c r="A27">
        <f>IF('TEAM RATINGS'!$A27="","",'TEAM RATINGS'!$A27)</f>
        <v/>
      </c>
      <c r="B27">
        <f>IF('TEAM RATINGS'!$A27="","",'TEAM RATINGS'!$B27)</f>
        <v/>
      </c>
      <c r="G27">
        <f>IF(OR($D27="",$F27=""),"",$F27-$D27)</f>
        <v/>
      </c>
      <c r="M27">
        <f>IF($A27="","",IF(OR($G27="",$H27="L",$J27&lt;&gt;SETTINGS!$B$3),"UNCERTAIN","OK"))</f>
        <v/>
      </c>
    </row>
    <row r="28">
      <c r="A28">
        <f>IF('TEAM RATINGS'!$A28="","",'TEAM RATINGS'!$A28)</f>
        <v/>
      </c>
      <c r="B28">
        <f>IF('TEAM RATINGS'!$A28="","",'TEAM RATINGS'!$B28)</f>
        <v/>
      </c>
      <c r="G28">
        <f>IF(OR($D28="",$F28=""),"",$F28-$D28)</f>
        <v/>
      </c>
      <c r="M28">
        <f>IF($A28="","",IF(OR($G28="",$H28="L",$J28&lt;&gt;SETTINGS!$B$3),"UNCERTAIN","OK"))</f>
        <v/>
      </c>
    </row>
    <row r="29">
      <c r="A29">
        <f>IF('TEAM RATINGS'!$A29="","",'TEAM RATINGS'!$A29)</f>
        <v/>
      </c>
      <c r="B29">
        <f>IF('TEAM RATINGS'!$A29="","",'TEAM RATINGS'!$B29)</f>
        <v/>
      </c>
      <c r="G29">
        <f>IF(OR($D29="",$F29=""),"",$F29-$D29)</f>
        <v/>
      </c>
      <c r="M29">
        <f>IF($A29="","",IF(OR($G29="",$H29="L",$J29&lt;&gt;SETTINGS!$B$3),"UNCERTAIN","OK"))</f>
        <v/>
      </c>
    </row>
    <row r="30">
      <c r="A30">
        <f>IF('TEAM RATINGS'!$A30="","",'TEAM RATINGS'!$A30)</f>
        <v/>
      </c>
      <c r="B30">
        <f>IF('TEAM RATINGS'!$A30="","",'TEAM RATINGS'!$B30)</f>
        <v/>
      </c>
      <c r="G30">
        <f>IF(OR($D30="",$F30=""),"",$F30-$D30)</f>
        <v/>
      </c>
      <c r="M30">
        <f>IF($A30="","",IF(OR($G30="",$H30="L",$J30&lt;&gt;SETTINGS!$B$3),"UNCERTAIN","OK"))</f>
        <v/>
      </c>
    </row>
    <row r="31">
      <c r="A31">
        <f>IF('TEAM RATINGS'!$A31="","",'TEAM RATINGS'!$A31)</f>
        <v/>
      </c>
      <c r="B31">
        <f>IF('TEAM RATINGS'!$A31="","",'TEAM RATINGS'!$B31)</f>
        <v/>
      </c>
      <c r="G31">
        <f>IF(OR($D31="",$F31=""),"",$F31-$D31)</f>
        <v/>
      </c>
      <c r="M31">
        <f>IF($A31="","",IF(OR($G31="",$H31="L",$J31&lt;&gt;SETTINGS!$B$3),"UNCERTAIN","OK"))</f>
        <v/>
      </c>
    </row>
    <row r="32">
      <c r="A32">
        <f>IF('TEAM RATINGS'!$A32="","",'TEAM RATINGS'!$A32)</f>
        <v/>
      </c>
      <c r="B32">
        <f>IF('TEAM RATINGS'!$A32="","",'TEAM RATINGS'!$B32)</f>
        <v/>
      </c>
      <c r="G32">
        <f>IF(OR($D32="",$F32=""),"",$F32-$D32)</f>
        <v/>
      </c>
      <c r="M32">
        <f>IF($A32="","",IF(OR($G32="",$H32="L",$J32&lt;&gt;SETTINGS!$B$3),"UNCERTAIN","OK"))</f>
        <v/>
      </c>
    </row>
    <row r="33">
      <c r="A33">
        <f>IF('TEAM RATINGS'!$A33="","",'TEAM RATINGS'!$A33)</f>
        <v/>
      </c>
      <c r="B33">
        <f>IF('TEAM RATINGS'!$A33="","",'TEAM RATINGS'!$B33)</f>
        <v/>
      </c>
      <c r="G33">
        <f>IF(OR($D33="",$F33=""),"",$F33-$D33)</f>
        <v/>
      </c>
      <c r="M33">
        <f>IF($A33="","",IF(OR($G33="",$H33="L",$J33&lt;&gt;SETTINGS!$B$3),"UNCERTAIN","OK"))</f>
        <v/>
      </c>
    </row>
    <row r="34">
      <c r="A34">
        <f>IF('TEAM RATINGS'!$A34="","",'TEAM RATINGS'!$A34)</f>
        <v/>
      </c>
      <c r="B34">
        <f>IF('TEAM RATINGS'!$A34="","",'TEAM RATINGS'!$B34)</f>
        <v/>
      </c>
      <c r="G34">
        <f>IF(OR($D34="",$F34=""),"",$F34-$D34)</f>
        <v/>
      </c>
      <c r="M34">
        <f>IF($A34="","",IF(OR($G34="",$H34="L",$J34&lt;&gt;SETTINGS!$B$3),"UNCERTAIN","OK"))</f>
        <v/>
      </c>
    </row>
    <row r="35">
      <c r="A35">
        <f>IF('TEAM RATINGS'!$A35="","",'TEAM RATINGS'!$A35)</f>
        <v/>
      </c>
      <c r="B35">
        <f>IF('TEAM RATINGS'!$A35="","",'TEAM RATINGS'!$B35)</f>
        <v/>
      </c>
      <c r="G35">
        <f>IF(OR($D35="",$F35=""),"",$F35-$D35)</f>
        <v/>
      </c>
      <c r="M35">
        <f>IF($A35="","",IF(OR($G35="",$H35="L",$J35&lt;&gt;SETTINGS!$B$3),"UNCERTAIN","OK"))</f>
        <v/>
      </c>
    </row>
    <row r="36">
      <c r="A36">
        <f>IF('TEAM RATINGS'!$A36="","",'TEAM RATINGS'!$A36)</f>
        <v/>
      </c>
      <c r="B36">
        <f>IF('TEAM RATINGS'!$A36="","",'TEAM RATINGS'!$B36)</f>
        <v/>
      </c>
      <c r="G36">
        <f>IF(OR($D36="",$F36=""),"",$F36-$D36)</f>
        <v/>
      </c>
      <c r="M36">
        <f>IF($A36="","",IF(OR($G36="",$H36="L",$J36&lt;&gt;SETTINGS!$B$3),"UNCERTAIN","OK"))</f>
        <v/>
      </c>
    </row>
    <row r="37">
      <c r="A37">
        <f>IF('TEAM RATINGS'!$A37="","",'TEAM RATINGS'!$A37)</f>
        <v/>
      </c>
      <c r="B37">
        <f>IF('TEAM RATINGS'!$A37="","",'TEAM RATINGS'!$B37)</f>
        <v/>
      </c>
      <c r="G37">
        <f>IF(OR($D37="",$F37=""),"",$F37-$D37)</f>
        <v/>
      </c>
      <c r="M37">
        <f>IF($A37="","",IF(OR($G37="",$H37="L",$J37&lt;&gt;SETTINGS!$B$3),"UNCERTAIN","OK"))</f>
        <v/>
      </c>
    </row>
    <row r="38">
      <c r="A38">
        <f>IF('TEAM RATINGS'!$A38="","",'TEAM RATINGS'!$A38)</f>
        <v/>
      </c>
      <c r="B38">
        <f>IF('TEAM RATINGS'!$A38="","",'TEAM RATINGS'!$B38)</f>
        <v/>
      </c>
      <c r="G38">
        <f>IF(OR($D38="",$F38=""),"",$F38-$D38)</f>
        <v/>
      </c>
      <c r="M38">
        <f>IF($A38="","",IF(OR($G38="",$H38="L",$J38&lt;&gt;SETTINGS!$B$3),"UNCERTAIN","OK"))</f>
        <v/>
      </c>
    </row>
    <row r="39">
      <c r="A39">
        <f>IF('TEAM RATINGS'!$A39="","",'TEAM RATINGS'!$A39)</f>
        <v/>
      </c>
      <c r="B39">
        <f>IF('TEAM RATINGS'!$A39="","",'TEAM RATINGS'!$B39)</f>
        <v/>
      </c>
      <c r="G39">
        <f>IF(OR($D39="",$F39=""),"",$F39-$D39)</f>
        <v/>
      </c>
      <c r="M39">
        <f>IF($A39="","",IF(OR($G39="",$H39="L",$J39&lt;&gt;SETTINGS!$B$3),"UNCERTAIN","OK"))</f>
        <v/>
      </c>
    </row>
    <row r="40">
      <c r="A40">
        <f>IF('TEAM RATINGS'!$A40="","",'TEAM RATINGS'!$A40)</f>
        <v/>
      </c>
      <c r="B40">
        <f>IF('TEAM RATINGS'!$A40="","",'TEAM RATINGS'!$B40)</f>
        <v/>
      </c>
      <c r="G40">
        <f>IF(OR($D40="",$F40=""),"",$F40-$D40)</f>
        <v/>
      </c>
      <c r="M40">
        <f>IF($A40="","",IF(OR($G40="",$H40="L",$J40&lt;&gt;SETTINGS!$B$3),"UNCERTAIN","OK"))</f>
        <v/>
      </c>
    </row>
    <row r="41">
      <c r="A41">
        <f>IF('TEAM RATINGS'!$A41="","",'TEAM RATINGS'!$A41)</f>
        <v/>
      </c>
      <c r="B41">
        <f>IF('TEAM RATINGS'!$A41="","",'TEAM RATINGS'!$B41)</f>
        <v/>
      </c>
      <c r="G41">
        <f>IF(OR($D41="",$F41=""),"",$F41-$D41)</f>
        <v/>
      </c>
      <c r="M41">
        <f>IF($A41="","",IF(OR($G41="",$H41="L",$J41&lt;&gt;SETTINGS!$B$3),"UNCERTAIN","OK"))</f>
        <v/>
      </c>
    </row>
    <row r="42">
      <c r="A42">
        <f>IF('TEAM RATINGS'!$A42="","",'TEAM RATINGS'!$A42)</f>
        <v/>
      </c>
      <c r="B42">
        <f>IF('TEAM RATINGS'!$A42="","",'TEAM RATINGS'!$B42)</f>
        <v/>
      </c>
      <c r="G42">
        <f>IF(OR($D42="",$F42=""),"",$F42-$D42)</f>
        <v/>
      </c>
      <c r="M42">
        <f>IF($A42="","",IF(OR($G42="",$H42="L",$J42&lt;&gt;SETTINGS!$B$3),"UNCERTAIN","OK"))</f>
        <v/>
      </c>
    </row>
    <row r="43">
      <c r="A43">
        <f>IF('TEAM RATINGS'!$A43="","",'TEAM RATINGS'!$A43)</f>
        <v/>
      </c>
      <c r="B43">
        <f>IF('TEAM RATINGS'!$A43="","",'TEAM RATINGS'!$B43)</f>
        <v/>
      </c>
      <c r="G43">
        <f>IF(OR($D43="",$F43=""),"",$F43-$D43)</f>
        <v/>
      </c>
      <c r="M43">
        <f>IF($A43="","",IF(OR($G43="",$H43="L",$J43&lt;&gt;SETTINGS!$B$3),"UNCERTAIN","OK"))</f>
        <v/>
      </c>
    </row>
    <row r="44">
      <c r="A44">
        <f>IF('TEAM RATINGS'!$A44="","",'TEAM RATINGS'!$A44)</f>
        <v/>
      </c>
      <c r="B44">
        <f>IF('TEAM RATINGS'!$A44="","",'TEAM RATINGS'!$B44)</f>
        <v/>
      </c>
      <c r="G44">
        <f>IF(OR($D44="",$F44=""),"",$F44-$D44)</f>
        <v/>
      </c>
      <c r="M44">
        <f>IF($A44="","",IF(OR($G44="",$H44="L",$J44&lt;&gt;SETTINGS!$B$3),"UNCERTAIN","OK"))</f>
        <v/>
      </c>
    </row>
    <row r="45">
      <c r="A45">
        <f>IF('TEAM RATINGS'!$A45="","",'TEAM RATINGS'!$A45)</f>
        <v/>
      </c>
      <c r="B45">
        <f>IF('TEAM RATINGS'!$A45="","",'TEAM RATINGS'!$B45)</f>
        <v/>
      </c>
      <c r="G45">
        <f>IF(OR($D45="",$F45=""),"",$F45-$D45)</f>
        <v/>
      </c>
      <c r="M45">
        <f>IF($A45="","",IF(OR($G45="",$H45="L",$J45&lt;&gt;SETTINGS!$B$3),"UNCERTAIN","OK"))</f>
        <v/>
      </c>
    </row>
    <row r="46">
      <c r="A46">
        <f>IF('TEAM RATINGS'!$A46="","",'TEAM RATINGS'!$A46)</f>
        <v/>
      </c>
      <c r="B46">
        <f>IF('TEAM RATINGS'!$A46="","",'TEAM RATINGS'!$B46)</f>
        <v/>
      </c>
      <c r="G46">
        <f>IF(OR($D46="",$F46=""),"",$F46-$D46)</f>
        <v/>
      </c>
      <c r="M46">
        <f>IF($A46="","",IF(OR($G46="",$H46="L",$J46&lt;&gt;SETTINGS!$B$3),"UNCERTAIN","OK"))</f>
        <v/>
      </c>
    </row>
    <row r="47">
      <c r="A47">
        <f>IF('TEAM RATINGS'!$A47="","",'TEAM RATINGS'!$A47)</f>
        <v/>
      </c>
      <c r="B47">
        <f>IF('TEAM RATINGS'!$A47="","",'TEAM RATINGS'!$B47)</f>
        <v/>
      </c>
      <c r="G47">
        <f>IF(OR($D47="",$F47=""),"",$F47-$D47)</f>
        <v/>
      </c>
      <c r="M47">
        <f>IF($A47="","",IF(OR($G47="",$H47="L",$J47&lt;&gt;SETTINGS!$B$3),"UNCERTAIN","OK"))</f>
        <v/>
      </c>
    </row>
    <row r="48">
      <c r="A48">
        <f>IF('TEAM RATINGS'!$A48="","",'TEAM RATINGS'!$A48)</f>
        <v/>
      </c>
      <c r="B48">
        <f>IF('TEAM RATINGS'!$A48="","",'TEAM RATINGS'!$B48)</f>
        <v/>
      </c>
      <c r="G48">
        <f>IF(OR($D48="",$F48=""),"",$F48-$D48)</f>
        <v/>
      </c>
      <c r="M48">
        <f>IF($A48="","",IF(OR($G48="",$H48="L",$J48&lt;&gt;SETTINGS!$B$3),"UNCERTAIN","OK"))</f>
        <v/>
      </c>
    </row>
    <row r="49">
      <c r="A49">
        <f>IF('TEAM RATINGS'!$A49="","",'TEAM RATINGS'!$A49)</f>
        <v/>
      </c>
      <c r="B49">
        <f>IF('TEAM RATINGS'!$A49="","",'TEAM RATINGS'!$B49)</f>
        <v/>
      </c>
      <c r="G49">
        <f>IF(OR($D49="",$F49=""),"",$F49-$D49)</f>
        <v/>
      </c>
      <c r="M49">
        <f>IF($A49="","",IF(OR($G49="",$H49="L",$J49&lt;&gt;SETTINGS!$B$3),"UNCERTAIN","OK"))</f>
        <v/>
      </c>
    </row>
    <row r="50">
      <c r="A50">
        <f>IF('TEAM RATINGS'!$A50="","",'TEAM RATINGS'!$A50)</f>
        <v/>
      </c>
      <c r="B50">
        <f>IF('TEAM RATINGS'!$A50="","",'TEAM RATINGS'!$B50)</f>
        <v/>
      </c>
      <c r="G50">
        <f>IF(OR($D50="",$F50=""),"",$F50-$D50)</f>
        <v/>
      </c>
      <c r="M50">
        <f>IF($A50="","",IF(OR($G50="",$H50="L",$J50&lt;&gt;SETTINGS!$B$3),"UNCERTAIN","OK"))</f>
        <v/>
      </c>
    </row>
    <row r="51">
      <c r="A51">
        <f>IF('TEAM RATINGS'!$A51="","",'TEAM RATINGS'!$A51)</f>
        <v/>
      </c>
      <c r="B51">
        <f>IF('TEAM RATINGS'!$A51="","",'TEAM RATINGS'!$B51)</f>
        <v/>
      </c>
      <c r="G51">
        <f>IF(OR($D51="",$F51=""),"",$F51-$D51)</f>
        <v/>
      </c>
      <c r="M51">
        <f>IF($A51="","",IF(OR($G51="",$H51="L",$J51&lt;&gt;SETTINGS!$B$3),"UNCERTAIN","OK"))</f>
        <v/>
      </c>
    </row>
    <row r="52">
      <c r="A52">
        <f>IF('TEAM RATINGS'!$A52="","",'TEAM RATINGS'!$A52)</f>
        <v/>
      </c>
      <c r="B52">
        <f>IF('TEAM RATINGS'!$A52="","",'TEAM RATINGS'!$B52)</f>
        <v/>
      </c>
      <c r="G52">
        <f>IF(OR($D52="",$F52=""),"",$F52-$D52)</f>
        <v/>
      </c>
      <c r="M52">
        <f>IF($A52="","",IF(OR($G52="",$H52="L",$J52&lt;&gt;SETTINGS!$B$3),"UNCERTAIN","OK"))</f>
        <v/>
      </c>
    </row>
    <row r="53">
      <c r="A53">
        <f>IF('TEAM RATINGS'!$A53="","",'TEAM RATINGS'!$A53)</f>
        <v/>
      </c>
      <c r="B53">
        <f>IF('TEAM RATINGS'!$A53="","",'TEAM RATINGS'!$B53)</f>
        <v/>
      </c>
      <c r="G53">
        <f>IF(OR($D53="",$F53=""),"",$F53-$D53)</f>
        <v/>
      </c>
      <c r="M53">
        <f>IF($A53="","",IF(OR($G53="",$H53="L",$J53&lt;&gt;SETTINGS!$B$3),"UNCERTAIN","OK"))</f>
        <v/>
      </c>
    </row>
    <row r="54">
      <c r="A54">
        <f>IF('TEAM RATINGS'!$A54="","",'TEAM RATINGS'!$A54)</f>
        <v/>
      </c>
      <c r="B54">
        <f>IF('TEAM RATINGS'!$A54="","",'TEAM RATINGS'!$B54)</f>
        <v/>
      </c>
      <c r="G54">
        <f>IF(OR($D54="",$F54=""),"",$F54-$D54)</f>
        <v/>
      </c>
      <c r="M54">
        <f>IF($A54="","",IF(OR($G54="",$H54="L",$J54&lt;&gt;SETTINGS!$B$3),"UNCERTAIN","OK"))</f>
        <v/>
      </c>
    </row>
    <row r="55">
      <c r="A55">
        <f>IF('TEAM RATINGS'!$A55="","",'TEAM RATINGS'!$A55)</f>
        <v/>
      </c>
      <c r="B55">
        <f>IF('TEAM RATINGS'!$A55="","",'TEAM RATINGS'!$B55)</f>
        <v/>
      </c>
      <c r="G55">
        <f>IF(OR($D55="",$F55=""),"",$F55-$D55)</f>
        <v/>
      </c>
      <c r="M55">
        <f>IF($A55="","",IF(OR($G55="",$H55="L",$J55&lt;&gt;SETTINGS!$B$3),"UNCERTAIN","OK"))</f>
        <v/>
      </c>
    </row>
    <row r="56">
      <c r="A56">
        <f>IF('TEAM RATINGS'!$A56="","",'TEAM RATINGS'!$A56)</f>
        <v/>
      </c>
      <c r="B56">
        <f>IF('TEAM RATINGS'!$A56="","",'TEAM RATINGS'!$B56)</f>
        <v/>
      </c>
      <c r="G56">
        <f>IF(OR($D56="",$F56=""),"",$F56-$D56)</f>
        <v/>
      </c>
      <c r="M56">
        <f>IF($A56="","",IF(OR($G56="",$H56="L",$J56&lt;&gt;SETTINGS!$B$3),"UNCERTAIN","OK"))</f>
        <v/>
      </c>
    </row>
    <row r="57">
      <c r="A57">
        <f>IF('TEAM RATINGS'!$A57="","",'TEAM RATINGS'!$A57)</f>
        <v/>
      </c>
      <c r="B57">
        <f>IF('TEAM RATINGS'!$A57="","",'TEAM RATINGS'!$B57)</f>
        <v/>
      </c>
      <c r="G57">
        <f>IF(OR($D57="",$F57=""),"",$F57-$D57)</f>
        <v/>
      </c>
      <c r="M57">
        <f>IF($A57="","",IF(OR($G57="",$H57="L",$J57&lt;&gt;SETTINGS!$B$3),"UNCERTAIN","OK"))</f>
        <v/>
      </c>
    </row>
    <row r="58">
      <c r="A58">
        <f>IF('TEAM RATINGS'!$A58="","",'TEAM RATINGS'!$A58)</f>
        <v/>
      </c>
      <c r="B58">
        <f>IF('TEAM RATINGS'!$A58="","",'TEAM RATINGS'!$B58)</f>
        <v/>
      </c>
      <c r="G58">
        <f>IF(OR($D58="",$F58=""),"",$F58-$D58)</f>
        <v/>
      </c>
      <c r="M58">
        <f>IF($A58="","",IF(OR($G58="",$H58="L",$J58&lt;&gt;SETTINGS!$B$3),"UNCERTAIN","OK"))</f>
        <v/>
      </c>
    </row>
    <row r="59">
      <c r="A59">
        <f>IF('TEAM RATINGS'!$A59="","",'TEAM RATINGS'!$A59)</f>
        <v/>
      </c>
      <c r="B59">
        <f>IF('TEAM RATINGS'!$A59="","",'TEAM RATINGS'!$B59)</f>
        <v/>
      </c>
      <c r="G59">
        <f>IF(OR($D59="",$F59=""),"",$F59-$D59)</f>
        <v/>
      </c>
      <c r="M59">
        <f>IF($A59="","",IF(OR($G59="",$H59="L",$J59&lt;&gt;SETTINGS!$B$3),"UNCERTAIN","OK"))</f>
        <v/>
      </c>
    </row>
    <row r="60">
      <c r="A60">
        <f>IF('TEAM RATINGS'!$A60="","",'TEAM RATINGS'!$A60)</f>
        <v/>
      </c>
      <c r="B60">
        <f>IF('TEAM RATINGS'!$A60="","",'TEAM RATINGS'!$B60)</f>
        <v/>
      </c>
      <c r="G60">
        <f>IF(OR($D60="",$F60=""),"",$F60-$D60)</f>
        <v/>
      </c>
      <c r="M60">
        <f>IF($A60="","",IF(OR($G60="",$H60="L",$J60&lt;&gt;SETTINGS!$B$3),"UNCERTAIN","OK"))</f>
        <v/>
      </c>
    </row>
    <row r="61">
      <c r="A61">
        <f>IF('TEAM RATINGS'!$A61="","",'TEAM RATINGS'!$A61)</f>
        <v/>
      </c>
      <c r="B61">
        <f>IF('TEAM RATINGS'!$A61="","",'TEAM RATINGS'!$B61)</f>
        <v/>
      </c>
      <c r="G61">
        <f>IF(OR($D61="",$F61=""),"",$F61-$D61)</f>
        <v/>
      </c>
      <c r="M61">
        <f>IF($A61="","",IF(OR($G61="",$H61="L",$J61&lt;&gt;SETTINGS!$B$3),"UNCERTAIN","OK"))</f>
        <v/>
      </c>
    </row>
    <row r="62">
      <c r="A62">
        <f>IF('TEAM RATINGS'!$A62="","",'TEAM RATINGS'!$A62)</f>
        <v/>
      </c>
      <c r="B62">
        <f>IF('TEAM RATINGS'!$A62="","",'TEAM RATINGS'!$B62)</f>
        <v/>
      </c>
      <c r="G62">
        <f>IF(OR($D62="",$F62=""),"",$F62-$D62)</f>
        <v/>
      </c>
      <c r="M62">
        <f>IF($A62="","",IF(OR($G62="",$H62="L",$J62&lt;&gt;SETTINGS!$B$3),"UNCERTAIN","OK"))</f>
        <v/>
      </c>
    </row>
    <row r="63">
      <c r="A63">
        <f>IF('TEAM RATINGS'!$A63="","",'TEAM RATINGS'!$A63)</f>
        <v/>
      </c>
      <c r="B63">
        <f>IF('TEAM RATINGS'!$A63="","",'TEAM RATINGS'!$B63)</f>
        <v/>
      </c>
      <c r="G63">
        <f>IF(OR($D63="",$F63=""),"",$F63-$D63)</f>
        <v/>
      </c>
      <c r="M63">
        <f>IF($A63="","",IF(OR($G63="",$H63="L",$J63&lt;&gt;SETTINGS!$B$3),"UNCERTAIN","OK"))</f>
        <v/>
      </c>
    </row>
    <row r="64">
      <c r="A64">
        <f>IF('TEAM RATINGS'!$A64="","",'TEAM RATINGS'!$A64)</f>
        <v/>
      </c>
      <c r="B64">
        <f>IF('TEAM RATINGS'!$A64="","",'TEAM RATINGS'!$B64)</f>
        <v/>
      </c>
      <c r="C64" t="inlineStr">
        <is>
          <t>TEST ONLY — NOT REAL DATA: Test Baseline QB</t>
        </is>
      </c>
      <c r="D64" t="n">
        <v>0</v>
      </c>
      <c r="E64" t="inlineStr">
        <is>
          <t>TEST ONLY — NOT REAL DATA: Test Active QB</t>
        </is>
      </c>
      <c r="F64" t="n">
        <v>0</v>
      </c>
      <c r="G64">
        <f>IF(OR($D64="",$F64=""),"",$F64-$D64)</f>
        <v/>
      </c>
      <c r="H64" t="inlineStr">
        <is>
          <t>M</t>
        </is>
      </c>
      <c r="I64" t="inlineStr">
        <is>
          <t>TEST ONLY — NOT REAL DATA</t>
        </is>
      </c>
      <c r="J64" t="n">
        <v>2026</v>
      </c>
      <c r="K64" s="2" t="n">
        <v>46266</v>
      </c>
      <c r="L64" t="inlineStr">
        <is>
          <t>TEST ONLY — NOT REAL DATA: temporarily resolved for DATA INCOMPLETE isolation</t>
        </is>
      </c>
      <c r="M64">
        <f>IF($A64="","",IF(OR($G64="",$H64="L",$J64&lt;&gt;SETTINGS!$B$3),"UNCERTAIN","OK"))</f>
        <v/>
      </c>
    </row>
    <row r="65">
      <c r="A65">
        <f>IF('TEAM RATINGS'!$A65="","",'TEAM RATINGS'!$A65)</f>
        <v/>
      </c>
      <c r="B65">
        <f>IF('TEAM RATINGS'!$A65="","",'TEAM RATINGS'!$B65)</f>
        <v/>
      </c>
      <c r="G65">
        <f>IF(OR($D65="",$F65=""),"",$F65-$D65)</f>
        <v/>
      </c>
      <c r="M65">
        <f>IF($A65="","",IF(OR($G65="",$H65="L",$J65&lt;&gt;SETTINGS!$B$3),"UNCERTAIN","OK"))</f>
        <v/>
      </c>
    </row>
    <row r="66">
      <c r="A66">
        <f>IF('TEAM RATINGS'!$A66="","",'TEAM RATINGS'!$A66)</f>
        <v/>
      </c>
      <c r="B66">
        <f>IF('TEAM RATINGS'!$A66="","",'TEAM RATINGS'!$B66)</f>
        <v/>
      </c>
      <c r="G66">
        <f>IF(OR($D66="",$F66=""),"",$F66-$D66)</f>
        <v/>
      </c>
      <c r="M66">
        <f>IF($A66="","",IF(OR($G66="",$H66="L",$J66&lt;&gt;SETTINGS!$B$3),"UNCERTAIN","OK"))</f>
        <v/>
      </c>
    </row>
    <row r="67">
      <c r="A67">
        <f>IF('TEAM RATINGS'!$A67="","",'TEAM RATINGS'!$A67)</f>
        <v/>
      </c>
      <c r="B67">
        <f>IF('TEAM RATINGS'!$A67="","",'TEAM RATINGS'!$B67)</f>
        <v/>
      </c>
      <c r="G67">
        <f>IF(OR($D67="",$F67=""),"",$F67-$D67)</f>
        <v/>
      </c>
      <c r="M67">
        <f>IF($A67="","",IF(OR($G67="",$H67="L",$J67&lt;&gt;SETTINGS!$B$3),"UNCERTAIN","OK"))</f>
        <v/>
      </c>
    </row>
    <row r="68">
      <c r="A68">
        <f>IF('TEAM RATINGS'!$A68="","",'TEAM RATINGS'!$A68)</f>
        <v/>
      </c>
      <c r="B68">
        <f>IF('TEAM RATINGS'!$A68="","",'TEAM RATINGS'!$B68)</f>
        <v/>
      </c>
      <c r="G68">
        <f>IF(OR($D68="",$F68=""),"",$F68-$D68)</f>
        <v/>
      </c>
      <c r="M68">
        <f>IF($A68="","",IF(OR($G68="",$H68="L",$J68&lt;&gt;SETTINGS!$B$3),"UNCERTAIN","OK"))</f>
        <v/>
      </c>
    </row>
    <row r="69">
      <c r="A69">
        <f>IF('TEAM RATINGS'!$A69="","",'TEAM RATINGS'!$A69)</f>
        <v/>
      </c>
      <c r="B69">
        <f>IF('TEAM RATINGS'!$A69="","",'TEAM RATINGS'!$B69)</f>
        <v/>
      </c>
      <c r="G69">
        <f>IF(OR($D69="",$F69=""),"",$F69-$D69)</f>
        <v/>
      </c>
      <c r="M69">
        <f>IF($A69="","",IF(OR($G69="",$H69="L",$J69&lt;&gt;SETTINGS!$B$3),"UNCERTAIN","OK"))</f>
        <v/>
      </c>
    </row>
    <row r="70">
      <c r="A70">
        <f>IF('TEAM RATINGS'!$A70="","",'TEAM RATINGS'!$A70)</f>
        <v/>
      </c>
      <c r="B70">
        <f>IF('TEAM RATINGS'!$A70="","",'TEAM RATINGS'!$B70)</f>
        <v/>
      </c>
      <c r="C70" t="inlineStr">
        <is>
          <t>TEST ONLY — NOT REAL DATA: Test Baseline QB</t>
        </is>
      </c>
      <c r="D70" t="n">
        <v>0</v>
      </c>
      <c r="E70" t="inlineStr">
        <is>
          <t>TEST ONLY — NOT REAL DATA: Test Active QB</t>
        </is>
      </c>
      <c r="F70" t="n">
        <v>0</v>
      </c>
      <c r="G70">
        <f>IF(OR($D70="",$F70=""),"",$F70-$D70)</f>
        <v/>
      </c>
      <c r="H70" t="inlineStr">
        <is>
          <t>M</t>
        </is>
      </c>
      <c r="I70" t="inlineStr">
        <is>
          <t>TEST ONLY — NOT REAL DATA</t>
        </is>
      </c>
      <c r="J70" t="n">
        <v>2026</v>
      </c>
      <c r="K70" s="2" t="n">
        <v>46266</v>
      </c>
      <c r="L70" t="inlineStr">
        <is>
          <t>TEST ONLY — NOT REAL DATA: temporarily resolved for DATA INCOMPLETE isolation</t>
        </is>
      </c>
      <c r="M70">
        <f>IF($A70="","",IF(OR($G70="",$H70="L",$J70&lt;&gt;SETTINGS!$B$3),"UNCERTAIN","OK"))</f>
        <v/>
      </c>
    </row>
    <row r="71">
      <c r="A71">
        <f>IF('TEAM RATINGS'!$A71="","",'TEAM RATINGS'!$A71)</f>
        <v/>
      </c>
      <c r="B71">
        <f>IF('TEAM RATINGS'!$A71="","",'TEAM RATINGS'!$B71)</f>
        <v/>
      </c>
      <c r="G71">
        <f>IF(OR($D71="",$F71=""),"",$F71-$D71)</f>
        <v/>
      </c>
      <c r="M71">
        <f>IF($A71="","",IF(OR($G71="",$H71="L",$J71&lt;&gt;SETTINGS!$B$3),"UNCERTAIN","OK"))</f>
        <v/>
      </c>
    </row>
    <row r="72">
      <c r="A72">
        <f>IF('TEAM RATINGS'!$A72="","",'TEAM RATINGS'!$A72)</f>
        <v/>
      </c>
      <c r="B72">
        <f>IF('TEAM RATINGS'!$A72="","",'TEAM RATINGS'!$B72)</f>
        <v/>
      </c>
      <c r="G72">
        <f>IF(OR($D72="",$F72=""),"",$F72-$D72)</f>
        <v/>
      </c>
      <c r="M72">
        <f>IF($A72="","",IF(OR($G72="",$H72="L",$J72&lt;&gt;SETTINGS!$B$3),"UNCERTAIN","OK"))</f>
        <v/>
      </c>
    </row>
    <row r="73">
      <c r="A73">
        <f>IF('TEAM RATINGS'!$A73="","",'TEAM RATINGS'!$A73)</f>
        <v/>
      </c>
      <c r="B73">
        <f>IF('TEAM RATINGS'!$A73="","",'TEAM RATINGS'!$B73)</f>
        <v/>
      </c>
      <c r="G73">
        <f>IF(OR($D73="",$F73=""),"",$F73-$D73)</f>
        <v/>
      </c>
      <c r="M73">
        <f>IF($A73="","",IF(OR($G73="",$H73="L",$J73&lt;&gt;SETTINGS!$B$3),"UNCERTAIN","OK"))</f>
        <v/>
      </c>
    </row>
    <row r="74">
      <c r="A74">
        <f>IF('TEAM RATINGS'!$A74="","",'TEAM RATINGS'!$A74)</f>
        <v/>
      </c>
      <c r="B74">
        <f>IF('TEAM RATINGS'!$A74="","",'TEAM RATINGS'!$B74)</f>
        <v/>
      </c>
      <c r="G74">
        <f>IF(OR($D74="",$F74=""),"",$F74-$D74)</f>
        <v/>
      </c>
      <c r="M74">
        <f>IF($A74="","",IF(OR($G74="",$H74="L",$J74&lt;&gt;SETTINGS!$B$3),"UNCERTAIN","OK"))</f>
        <v/>
      </c>
    </row>
    <row r="75">
      <c r="A75">
        <f>IF('TEAM RATINGS'!$A75="","",'TEAM RATINGS'!$A75)</f>
        <v/>
      </c>
      <c r="B75">
        <f>IF('TEAM RATINGS'!$A75="","",'TEAM RATINGS'!$B75)</f>
        <v/>
      </c>
      <c r="G75">
        <f>IF(OR($D75="",$F75=""),"",$F75-$D75)</f>
        <v/>
      </c>
      <c r="M75">
        <f>IF($A75="","",IF(OR($G75="",$H75="L",$J75&lt;&gt;SETTINGS!$B$3),"UNCERTAIN","OK"))</f>
        <v/>
      </c>
    </row>
    <row r="76">
      <c r="A76">
        <f>IF('TEAM RATINGS'!$A76="","",'TEAM RATINGS'!$A76)</f>
        <v/>
      </c>
      <c r="B76">
        <f>IF('TEAM RATINGS'!$A76="","",'TEAM RATINGS'!$B76)</f>
        <v/>
      </c>
      <c r="G76">
        <f>IF(OR($D76="",$F76=""),"",$F76-$D76)</f>
        <v/>
      </c>
      <c r="M76">
        <f>IF($A76="","",IF(OR($G76="",$H76="L",$J76&lt;&gt;SETTINGS!$B$3),"UNCERTAIN","OK"))</f>
        <v/>
      </c>
    </row>
    <row r="77">
      <c r="A77">
        <f>IF('TEAM RATINGS'!$A77="","",'TEAM RATINGS'!$A77)</f>
        <v/>
      </c>
      <c r="B77">
        <f>IF('TEAM RATINGS'!$A77="","",'TEAM RATINGS'!$B77)</f>
        <v/>
      </c>
      <c r="G77">
        <f>IF(OR($D77="",$F77=""),"",$F77-$D77)</f>
        <v/>
      </c>
      <c r="M77">
        <f>IF($A77="","",IF(OR($G77="",$H77="L",$J77&lt;&gt;SETTINGS!$B$3),"UNCERTAIN","OK"))</f>
        <v/>
      </c>
    </row>
    <row r="78">
      <c r="A78">
        <f>IF('TEAM RATINGS'!$A78="","",'TEAM RATINGS'!$A78)</f>
        <v/>
      </c>
      <c r="B78">
        <f>IF('TEAM RATINGS'!$A78="","",'TEAM RATINGS'!$B78)</f>
        <v/>
      </c>
      <c r="G78">
        <f>IF(OR($D78="",$F78=""),"",$F78-$D78)</f>
        <v/>
      </c>
      <c r="M78">
        <f>IF($A78="","",IF(OR($G78="",$H78="L",$J78&lt;&gt;SETTINGS!$B$3),"UNCERTAIN","OK"))</f>
        <v/>
      </c>
    </row>
    <row r="79">
      <c r="A79">
        <f>IF('TEAM RATINGS'!$A79="","",'TEAM RATINGS'!$A79)</f>
        <v/>
      </c>
      <c r="B79">
        <f>IF('TEAM RATINGS'!$A79="","",'TEAM RATINGS'!$B79)</f>
        <v/>
      </c>
      <c r="G79">
        <f>IF(OR($D79="",$F79=""),"",$F79-$D79)</f>
        <v/>
      </c>
      <c r="M79">
        <f>IF($A79="","",IF(OR($G79="",$H79="L",$J79&lt;&gt;SETTINGS!$B$3),"UNCERTAIN","OK"))</f>
        <v/>
      </c>
    </row>
    <row r="80">
      <c r="A80">
        <f>IF('TEAM RATINGS'!$A80="","",'TEAM RATINGS'!$A80)</f>
        <v/>
      </c>
      <c r="B80">
        <f>IF('TEAM RATINGS'!$A80="","",'TEAM RATINGS'!$B80)</f>
        <v/>
      </c>
      <c r="G80">
        <f>IF(OR($D80="",$F80=""),"",$F80-$D80)</f>
        <v/>
      </c>
      <c r="M80">
        <f>IF($A80="","",IF(OR($G80="",$H80="L",$J80&lt;&gt;SETTINGS!$B$3),"UNCERTAIN","OK"))</f>
        <v/>
      </c>
    </row>
    <row r="81">
      <c r="A81">
        <f>IF('TEAM RATINGS'!$A81="","",'TEAM RATINGS'!$A81)</f>
        <v/>
      </c>
      <c r="B81">
        <f>IF('TEAM RATINGS'!$A81="","",'TEAM RATINGS'!$B81)</f>
        <v/>
      </c>
      <c r="G81">
        <f>IF(OR($D81="",$F81=""),"",$F81-$D81)</f>
        <v/>
      </c>
      <c r="M81">
        <f>IF($A81="","",IF(OR($G81="",$H81="L",$J81&lt;&gt;SETTINGS!$B$3),"UNCERTAIN","OK"))</f>
        <v/>
      </c>
    </row>
    <row r="82">
      <c r="A82">
        <f>IF('TEAM RATINGS'!$A82="","",'TEAM RATINGS'!$A82)</f>
        <v/>
      </c>
      <c r="B82">
        <f>IF('TEAM RATINGS'!$A82="","",'TEAM RATINGS'!$B82)</f>
        <v/>
      </c>
      <c r="G82">
        <f>IF(OR($D82="",$F82=""),"",$F82-$D82)</f>
        <v/>
      </c>
      <c r="M82">
        <f>IF($A82="","",IF(OR($G82="",$H82="L",$J82&lt;&gt;SETTINGS!$B$3),"UNCERTAIN","OK"))</f>
        <v/>
      </c>
    </row>
    <row r="83">
      <c r="A83">
        <f>IF('TEAM RATINGS'!$A83="","",'TEAM RATINGS'!$A83)</f>
        <v/>
      </c>
      <c r="B83">
        <f>IF('TEAM RATINGS'!$A83="","",'TEAM RATINGS'!$B83)</f>
        <v/>
      </c>
      <c r="G83">
        <f>IF(OR($D83="",$F83=""),"",$F83-$D83)</f>
        <v/>
      </c>
      <c r="M83">
        <f>IF($A83="","",IF(OR($G83="",$H83="L",$J83&lt;&gt;SETTINGS!$B$3),"UNCERTAIN","OK"))</f>
        <v/>
      </c>
    </row>
    <row r="84">
      <c r="A84">
        <f>IF('TEAM RATINGS'!$A84="","",'TEAM RATINGS'!$A84)</f>
        <v/>
      </c>
      <c r="B84">
        <f>IF('TEAM RATINGS'!$A84="","",'TEAM RATINGS'!$B84)</f>
        <v/>
      </c>
      <c r="G84">
        <f>IF(OR($D84="",$F84=""),"",$F84-$D84)</f>
        <v/>
      </c>
      <c r="M84">
        <f>IF($A84="","",IF(OR($G84="",$H84="L",$J84&lt;&gt;SETTINGS!$B$3),"UNCERTAIN","OK"))</f>
        <v/>
      </c>
    </row>
    <row r="85">
      <c r="A85">
        <f>IF('TEAM RATINGS'!$A85="","",'TEAM RATINGS'!$A85)</f>
        <v/>
      </c>
      <c r="B85">
        <f>IF('TEAM RATINGS'!$A85="","",'TEAM RATINGS'!$B85)</f>
        <v/>
      </c>
      <c r="G85">
        <f>IF(OR($D85="",$F85=""),"",$F85-$D85)</f>
        <v/>
      </c>
      <c r="M85">
        <f>IF($A85="","",IF(OR($G85="",$H85="L",$J85&lt;&gt;SETTINGS!$B$3),"UNCERTAIN","OK"))</f>
        <v/>
      </c>
    </row>
    <row r="86">
      <c r="A86">
        <f>IF('TEAM RATINGS'!$A86="","",'TEAM RATINGS'!$A86)</f>
        <v/>
      </c>
      <c r="B86">
        <f>IF('TEAM RATINGS'!$A86="","",'TEAM RATINGS'!$B86)</f>
        <v/>
      </c>
      <c r="G86">
        <f>IF(OR($D86="",$F86=""),"",$F86-$D86)</f>
        <v/>
      </c>
      <c r="M86">
        <f>IF($A86="","",IF(OR($G86="",$H86="L",$J86&lt;&gt;SETTINGS!$B$3),"UNCERTAIN","OK"))</f>
        <v/>
      </c>
    </row>
    <row r="87">
      <c r="A87">
        <f>IF('TEAM RATINGS'!$A87="","",'TEAM RATINGS'!$A87)</f>
        <v/>
      </c>
      <c r="B87">
        <f>IF('TEAM RATINGS'!$A87="","",'TEAM RATINGS'!$B87)</f>
        <v/>
      </c>
      <c r="G87">
        <f>IF(OR($D87="",$F87=""),"",$F87-$D87)</f>
        <v/>
      </c>
      <c r="M87">
        <f>IF($A87="","",IF(OR($G87="",$H87="L",$J87&lt;&gt;SETTINGS!$B$3),"UNCERTAIN","OK"))</f>
        <v/>
      </c>
    </row>
    <row r="88">
      <c r="A88">
        <f>IF('TEAM RATINGS'!$A88="","",'TEAM RATINGS'!$A88)</f>
        <v/>
      </c>
      <c r="B88">
        <f>IF('TEAM RATINGS'!$A88="","",'TEAM RATINGS'!$B88)</f>
        <v/>
      </c>
      <c r="G88">
        <f>IF(OR($D88="",$F88=""),"",$F88-$D88)</f>
        <v/>
      </c>
      <c r="M88">
        <f>IF($A88="","",IF(OR($G88="",$H88="L",$J88&lt;&gt;SETTINGS!$B$3),"UNCERTAIN","OK"))</f>
        <v/>
      </c>
    </row>
    <row r="89">
      <c r="A89">
        <f>IF('TEAM RATINGS'!$A89="","",'TEAM RATINGS'!$A89)</f>
        <v/>
      </c>
      <c r="B89">
        <f>IF('TEAM RATINGS'!$A89="","",'TEAM RATINGS'!$B89)</f>
        <v/>
      </c>
      <c r="G89">
        <f>IF(OR($D89="",$F89=""),"",$F89-$D89)</f>
        <v/>
      </c>
      <c r="M89">
        <f>IF($A89="","",IF(OR($G89="",$H89="L",$J89&lt;&gt;SETTINGS!$B$3),"UNCERTAIN","OK"))</f>
        <v/>
      </c>
    </row>
    <row r="90">
      <c r="A90">
        <f>IF('TEAM RATINGS'!$A90="","",'TEAM RATINGS'!$A90)</f>
        <v/>
      </c>
      <c r="B90">
        <f>IF('TEAM RATINGS'!$A90="","",'TEAM RATINGS'!$B90)</f>
        <v/>
      </c>
      <c r="G90">
        <f>IF(OR($D90="",$F90=""),"",$F90-$D90)</f>
        <v/>
      </c>
      <c r="M90">
        <f>IF($A90="","",IF(OR($G90="",$H90="L",$J90&lt;&gt;SETTINGS!$B$3),"UNCERTAIN","OK"))</f>
        <v/>
      </c>
    </row>
    <row r="91">
      <c r="A91">
        <f>IF('TEAM RATINGS'!$A91="","",'TEAM RATINGS'!$A91)</f>
        <v/>
      </c>
      <c r="B91">
        <f>IF('TEAM RATINGS'!$A91="","",'TEAM RATINGS'!$B91)</f>
        <v/>
      </c>
      <c r="G91">
        <f>IF(OR($D91="",$F91=""),"",$F91-$D91)</f>
        <v/>
      </c>
      <c r="M91">
        <f>IF($A91="","",IF(OR($G91="",$H91="L",$J91&lt;&gt;SETTINGS!$B$3),"UNCERTAIN","OK"))</f>
        <v/>
      </c>
    </row>
    <row r="92">
      <c r="A92">
        <f>IF('TEAM RATINGS'!$A92="","",'TEAM RATINGS'!$A92)</f>
        <v/>
      </c>
      <c r="B92">
        <f>IF('TEAM RATINGS'!$A92="","",'TEAM RATINGS'!$B92)</f>
        <v/>
      </c>
      <c r="G92">
        <f>IF(OR($D92="",$F92=""),"",$F92-$D92)</f>
        <v/>
      </c>
      <c r="M92">
        <f>IF($A92="","",IF(OR($G92="",$H92="L",$J92&lt;&gt;SETTINGS!$B$3),"UNCERTAIN","OK"))</f>
        <v/>
      </c>
    </row>
    <row r="93">
      <c r="A93">
        <f>IF('TEAM RATINGS'!$A93="","",'TEAM RATINGS'!$A93)</f>
        <v/>
      </c>
      <c r="B93">
        <f>IF('TEAM RATINGS'!$A93="","",'TEAM RATINGS'!$B93)</f>
        <v/>
      </c>
      <c r="G93">
        <f>IF(OR($D93="",$F93=""),"",$F93-$D93)</f>
        <v/>
      </c>
      <c r="M93">
        <f>IF($A93="","",IF(OR($G93="",$H93="L",$J93&lt;&gt;SETTINGS!$B$3),"UNCERTAIN","OK"))</f>
        <v/>
      </c>
    </row>
    <row r="94">
      <c r="A94">
        <f>IF('TEAM RATINGS'!$A94="","",'TEAM RATINGS'!$A94)</f>
        <v/>
      </c>
      <c r="B94">
        <f>IF('TEAM RATINGS'!$A94="","",'TEAM RATINGS'!$B94)</f>
        <v/>
      </c>
      <c r="G94">
        <f>IF(OR($D94="",$F94=""),"",$F94-$D94)</f>
        <v/>
      </c>
      <c r="M94">
        <f>IF($A94="","",IF(OR($G94="",$H94="L",$J94&lt;&gt;SETTINGS!$B$3),"UNCERTAIN","OK"))</f>
        <v/>
      </c>
    </row>
    <row r="95">
      <c r="A95">
        <f>IF('TEAM RATINGS'!$A95="","",'TEAM RATINGS'!$A95)</f>
        <v/>
      </c>
      <c r="B95">
        <f>IF('TEAM RATINGS'!$A95="","",'TEAM RATINGS'!$B95)</f>
        <v/>
      </c>
      <c r="G95">
        <f>IF(OR($D95="",$F95=""),"",$F95-$D95)</f>
        <v/>
      </c>
      <c r="M95">
        <f>IF($A95="","",IF(OR($G95="",$H95="L",$J95&lt;&gt;SETTINGS!$B$3),"UNCERTAIN","OK"))</f>
        <v/>
      </c>
    </row>
    <row r="96">
      <c r="A96">
        <f>IF('TEAM RATINGS'!$A96="","",'TEAM RATINGS'!$A96)</f>
        <v/>
      </c>
      <c r="B96">
        <f>IF('TEAM RATINGS'!$A96="","",'TEAM RATINGS'!$B96)</f>
        <v/>
      </c>
      <c r="G96">
        <f>IF(OR($D96="",$F96=""),"",$F96-$D96)</f>
        <v/>
      </c>
      <c r="M96">
        <f>IF($A96="","",IF(OR($G96="",$H96="L",$J96&lt;&gt;SETTINGS!$B$3),"UNCERTAIN","OK"))</f>
        <v/>
      </c>
    </row>
    <row r="97">
      <c r="A97">
        <f>IF('TEAM RATINGS'!$A97="","",'TEAM RATINGS'!$A97)</f>
        <v/>
      </c>
      <c r="B97">
        <f>IF('TEAM RATINGS'!$A97="","",'TEAM RATINGS'!$B97)</f>
        <v/>
      </c>
      <c r="G97">
        <f>IF(OR($D97="",$F97=""),"",$F97-$D97)</f>
        <v/>
      </c>
      <c r="M97">
        <f>IF($A97="","",IF(OR($G97="",$H97="L",$J97&lt;&gt;SETTINGS!$B$3),"UNCERTAIN","OK"))</f>
        <v/>
      </c>
    </row>
    <row r="98">
      <c r="A98">
        <f>IF('TEAM RATINGS'!$A98="","",'TEAM RATINGS'!$A98)</f>
        <v/>
      </c>
      <c r="B98">
        <f>IF('TEAM RATINGS'!$A98="","",'TEAM RATINGS'!$B98)</f>
        <v/>
      </c>
      <c r="G98">
        <f>IF(OR($D98="",$F98=""),"",$F98-$D98)</f>
        <v/>
      </c>
      <c r="M98">
        <f>IF($A98="","",IF(OR($G98="",$H98="L",$J98&lt;&gt;SETTINGS!$B$3),"UNCERTAIN","OK"))</f>
        <v/>
      </c>
    </row>
    <row r="99">
      <c r="A99">
        <f>IF('TEAM RATINGS'!$A99="","",'TEAM RATINGS'!$A99)</f>
        <v/>
      </c>
      <c r="B99">
        <f>IF('TEAM RATINGS'!$A99="","",'TEAM RATINGS'!$B99)</f>
        <v/>
      </c>
      <c r="G99">
        <f>IF(OR($D99="",$F99=""),"",$F99-$D99)</f>
        <v/>
      </c>
      <c r="M99">
        <f>IF($A99="","",IF(OR($G99="",$H99="L",$J99&lt;&gt;SETTINGS!$B$3),"UNCERTAIN","OK"))</f>
        <v/>
      </c>
    </row>
    <row r="100">
      <c r="A100">
        <f>IF('TEAM RATINGS'!$A100="","",'TEAM RATINGS'!$A100)</f>
        <v/>
      </c>
      <c r="B100">
        <f>IF('TEAM RATINGS'!$A100="","",'TEAM RATINGS'!$B100)</f>
        <v/>
      </c>
      <c r="G100">
        <f>IF(OR($D100="",$F100=""),"",$F100-$D100)</f>
        <v/>
      </c>
      <c r="M100">
        <f>IF($A100="","",IF(OR($G100="",$H100="L",$J100&lt;&gt;SETTINGS!$B$3),"UNCERTAIN","OK"))</f>
        <v/>
      </c>
    </row>
    <row r="101">
      <c r="A101">
        <f>IF('TEAM RATINGS'!$A101="","",'TEAM RATINGS'!$A101)</f>
        <v/>
      </c>
      <c r="B101">
        <f>IF('TEAM RATINGS'!$A101="","",'TEAM RATINGS'!$B101)</f>
        <v/>
      </c>
      <c r="G101">
        <f>IF(OR($D101="",$F101=""),"",$F101-$D101)</f>
        <v/>
      </c>
      <c r="M101">
        <f>IF($A101="","",IF(OR($G101="",$H101="L",$J101&lt;&gt;SETTINGS!$B$3),"UNCERTAIN","OK"))</f>
        <v/>
      </c>
    </row>
    <row r="102">
      <c r="A102">
        <f>IF('TEAM RATINGS'!$A102="","",'TEAM RATINGS'!$A102)</f>
        <v/>
      </c>
      <c r="B102">
        <f>IF('TEAM RATINGS'!$A102="","",'TEAM RATINGS'!$B102)</f>
        <v/>
      </c>
      <c r="G102">
        <f>IF(OR($D102="",$F102=""),"",$F102-$D102)</f>
        <v/>
      </c>
      <c r="M102">
        <f>IF($A102="","",IF(OR($G102="",$H102="L",$J102&lt;&gt;SETTINGS!$B$3),"UNCERTAIN","OK"))</f>
        <v/>
      </c>
    </row>
    <row r="103">
      <c r="A103">
        <f>IF('TEAM RATINGS'!$A103="","",'TEAM RATINGS'!$A103)</f>
        <v/>
      </c>
      <c r="B103">
        <f>IF('TEAM RATINGS'!$A103="","",'TEAM RATINGS'!$B103)</f>
        <v/>
      </c>
      <c r="G103">
        <f>IF(OR($D103="",$F103=""),"",$F103-$D103)</f>
        <v/>
      </c>
      <c r="M103">
        <f>IF($A103="","",IF(OR($G103="",$H103="L",$J103&lt;&gt;SETTINGS!$B$3),"UNCERTAIN","OK"))</f>
        <v/>
      </c>
    </row>
    <row r="104">
      <c r="A104">
        <f>IF('TEAM RATINGS'!$A104="","",'TEAM RATINGS'!$A104)</f>
        <v/>
      </c>
      <c r="B104">
        <f>IF('TEAM RATINGS'!$A104="","",'TEAM RATINGS'!$B104)</f>
        <v/>
      </c>
      <c r="G104">
        <f>IF(OR($D104="",$F104=""),"",$F104-$D104)</f>
        <v/>
      </c>
      <c r="M104">
        <f>IF($A104="","",IF(OR($G104="",$H104="L",$J104&lt;&gt;SETTINGS!$B$3),"UNCERTAIN","OK"))</f>
        <v/>
      </c>
    </row>
    <row r="105">
      <c r="A105">
        <f>IF('TEAM RATINGS'!$A105="","",'TEAM RATINGS'!$A105)</f>
        <v/>
      </c>
      <c r="B105">
        <f>IF('TEAM RATINGS'!$A105="","",'TEAM RATINGS'!$B105)</f>
        <v/>
      </c>
      <c r="G105">
        <f>IF(OR($D105="",$F105=""),"",$F105-$D105)</f>
        <v/>
      </c>
      <c r="M105">
        <f>IF($A105="","",IF(OR($G105="",$H105="L",$J105&lt;&gt;SETTINGS!$B$3),"UNCERTAIN","OK"))</f>
        <v/>
      </c>
    </row>
    <row r="106">
      <c r="A106">
        <f>IF('TEAM RATINGS'!$A106="","",'TEAM RATINGS'!$A106)</f>
        <v/>
      </c>
      <c r="B106">
        <f>IF('TEAM RATINGS'!$A106="","",'TEAM RATINGS'!$B106)</f>
        <v/>
      </c>
      <c r="G106">
        <f>IF(OR($D106="",$F106=""),"",$F106-$D106)</f>
        <v/>
      </c>
      <c r="M106">
        <f>IF($A106="","",IF(OR($G106="",$H106="L",$J106&lt;&gt;SETTINGS!$B$3),"UNCERTAIN","OK"))</f>
        <v/>
      </c>
    </row>
    <row r="107">
      <c r="A107">
        <f>IF('TEAM RATINGS'!$A107="","",'TEAM RATINGS'!$A107)</f>
        <v/>
      </c>
      <c r="B107">
        <f>IF('TEAM RATINGS'!$A107="","",'TEAM RATINGS'!$B107)</f>
        <v/>
      </c>
      <c r="G107">
        <f>IF(OR($D107="",$F107=""),"",$F107-$D107)</f>
        <v/>
      </c>
      <c r="M107">
        <f>IF($A107="","",IF(OR($G107="",$H107="L",$J107&lt;&gt;SETTINGS!$B$3),"UNCERTAIN","OK"))</f>
        <v/>
      </c>
    </row>
    <row r="108">
      <c r="A108">
        <f>IF('TEAM RATINGS'!$A108="","",'TEAM RATINGS'!$A108)</f>
        <v/>
      </c>
      <c r="B108">
        <f>IF('TEAM RATINGS'!$A108="","",'TEAM RATINGS'!$B108)</f>
        <v/>
      </c>
      <c r="G108">
        <f>IF(OR($D108="",$F108=""),"",$F108-$D108)</f>
        <v/>
      </c>
      <c r="M108">
        <f>IF($A108="","",IF(OR($G108="",$H108="L",$J108&lt;&gt;SETTINGS!$B$3),"UNCERTAIN","OK"))</f>
        <v/>
      </c>
    </row>
    <row r="109">
      <c r="A109">
        <f>IF('TEAM RATINGS'!$A109="","",'TEAM RATINGS'!$A109)</f>
        <v/>
      </c>
      <c r="B109">
        <f>IF('TEAM RATINGS'!$A109="","",'TEAM RATINGS'!$B109)</f>
        <v/>
      </c>
      <c r="G109">
        <f>IF(OR($D109="",$F109=""),"",$F109-$D109)</f>
        <v/>
      </c>
      <c r="M109">
        <f>IF($A109="","",IF(OR($G109="",$H109="L",$J109&lt;&gt;SETTINGS!$B$3),"UNCERTAIN","OK"))</f>
        <v/>
      </c>
    </row>
    <row r="110">
      <c r="A110">
        <f>IF('TEAM RATINGS'!$A110="","",'TEAM RATINGS'!$A110)</f>
        <v/>
      </c>
      <c r="B110">
        <f>IF('TEAM RATINGS'!$A110="","",'TEAM RATINGS'!$B110)</f>
        <v/>
      </c>
      <c r="G110">
        <f>IF(OR($D110="",$F110=""),"",$F110-$D110)</f>
        <v/>
      </c>
      <c r="M110">
        <f>IF($A110="","",IF(OR($G110="",$H110="L",$J110&lt;&gt;SETTINGS!$B$3),"UNCERTAIN","OK"))</f>
        <v/>
      </c>
    </row>
    <row r="111">
      <c r="A111">
        <f>IF('TEAM RATINGS'!$A111="","",'TEAM RATINGS'!$A111)</f>
        <v/>
      </c>
      <c r="B111">
        <f>IF('TEAM RATINGS'!$A111="","",'TEAM RATINGS'!$B111)</f>
        <v/>
      </c>
      <c r="G111">
        <f>IF(OR($D111="",$F111=""),"",$F111-$D111)</f>
        <v/>
      </c>
      <c r="M111">
        <f>IF($A111="","",IF(OR($G111="",$H111="L",$J111&lt;&gt;SETTINGS!$B$3),"UNCERTAIN","OK"))</f>
        <v/>
      </c>
    </row>
    <row r="112">
      <c r="A112">
        <f>IF('TEAM RATINGS'!$A112="","",'TEAM RATINGS'!$A112)</f>
        <v/>
      </c>
      <c r="B112">
        <f>IF('TEAM RATINGS'!$A112="","",'TEAM RATINGS'!$B112)</f>
        <v/>
      </c>
      <c r="G112">
        <f>IF(OR($D112="",$F112=""),"",$F112-$D112)</f>
        <v/>
      </c>
      <c r="M112">
        <f>IF($A112="","",IF(OR($G112="",$H112="L",$J112&lt;&gt;SETTINGS!$B$3),"UNCERTAIN","OK"))</f>
        <v/>
      </c>
    </row>
    <row r="113">
      <c r="A113">
        <f>IF('TEAM RATINGS'!$A113="","",'TEAM RATINGS'!$A113)</f>
        <v/>
      </c>
      <c r="B113">
        <f>IF('TEAM RATINGS'!$A113="","",'TEAM RATINGS'!$B113)</f>
        <v/>
      </c>
      <c r="G113">
        <f>IF(OR($D113="",$F113=""),"",$F113-$D113)</f>
        <v/>
      </c>
      <c r="M113">
        <f>IF($A113="","",IF(OR($G113="",$H113="L",$J113&lt;&gt;SETTINGS!$B$3),"UNCERTAIN","OK"))</f>
        <v/>
      </c>
    </row>
    <row r="114">
      <c r="A114">
        <f>IF('TEAM RATINGS'!$A114="","",'TEAM RATINGS'!$A114)</f>
        <v/>
      </c>
      <c r="B114">
        <f>IF('TEAM RATINGS'!$A114="","",'TEAM RATINGS'!$B114)</f>
        <v/>
      </c>
      <c r="G114">
        <f>IF(OR($D114="",$F114=""),"",$F114-$D114)</f>
        <v/>
      </c>
      <c r="M114">
        <f>IF($A114="","",IF(OR($G114="",$H114="L",$J114&lt;&gt;SETTINGS!$B$3),"UNCERTAIN","OK"))</f>
        <v/>
      </c>
    </row>
    <row r="115">
      <c r="A115">
        <f>IF('TEAM RATINGS'!$A115="","",'TEAM RATINGS'!$A115)</f>
        <v/>
      </c>
      <c r="B115">
        <f>IF('TEAM RATINGS'!$A115="","",'TEAM RATINGS'!$B115)</f>
        <v/>
      </c>
      <c r="G115">
        <f>IF(OR($D115="",$F115=""),"",$F115-$D115)</f>
        <v/>
      </c>
      <c r="M115">
        <f>IF($A115="","",IF(OR($G115="",$H115="L",$J115&lt;&gt;SETTINGS!$B$3),"UNCERTAIN","OK"))</f>
        <v/>
      </c>
    </row>
    <row r="116">
      <c r="A116">
        <f>IF('TEAM RATINGS'!$A116="","",'TEAM RATINGS'!$A116)</f>
        <v/>
      </c>
      <c r="B116">
        <f>IF('TEAM RATINGS'!$A116="","",'TEAM RATINGS'!$B116)</f>
        <v/>
      </c>
      <c r="G116">
        <f>IF(OR($D116="",$F116=""),"",$F116-$D116)</f>
        <v/>
      </c>
      <c r="M116">
        <f>IF($A116="","",IF(OR($G116="",$H116="L",$J116&lt;&gt;SETTINGS!$B$3),"UNCERTAIN","OK"))</f>
        <v/>
      </c>
    </row>
    <row r="117">
      <c r="A117">
        <f>IF('TEAM RATINGS'!$A117="","",'TEAM RATINGS'!$A117)</f>
        <v/>
      </c>
      <c r="B117">
        <f>IF('TEAM RATINGS'!$A117="","",'TEAM RATINGS'!$B117)</f>
        <v/>
      </c>
      <c r="G117">
        <f>IF(OR($D117="",$F117=""),"",$F117-$D117)</f>
        <v/>
      </c>
      <c r="M117">
        <f>IF($A117="","",IF(OR($G117="",$H117="L",$J117&lt;&gt;SETTINGS!$B$3),"UNCERTAIN","OK"))</f>
        <v/>
      </c>
    </row>
    <row r="118">
      <c r="A118">
        <f>IF('TEAM RATINGS'!$A118="","",'TEAM RATINGS'!$A118)</f>
        <v/>
      </c>
      <c r="B118">
        <f>IF('TEAM RATINGS'!$A118="","",'TEAM RATINGS'!$B118)</f>
        <v/>
      </c>
      <c r="G118">
        <f>IF(OR($D118="",$F118=""),"",$F118-$D118)</f>
        <v/>
      </c>
      <c r="M118">
        <f>IF($A118="","",IF(OR($G118="",$H118="L",$J118&lt;&gt;SETTINGS!$B$3),"UNCERTAIN","OK"))</f>
        <v/>
      </c>
    </row>
    <row r="119">
      <c r="A119">
        <f>IF('TEAM RATINGS'!$A119="","",'TEAM RATINGS'!$A119)</f>
        <v/>
      </c>
      <c r="B119">
        <f>IF('TEAM RATINGS'!$A119="","",'TEAM RATINGS'!$B119)</f>
        <v/>
      </c>
      <c r="G119">
        <f>IF(OR($D119="",$F119=""),"",$F119-$D119)</f>
        <v/>
      </c>
      <c r="M119">
        <f>IF($A119="","",IF(OR($G119="",$H119="L",$J119&lt;&gt;SETTINGS!$B$3),"UNCERTAIN","OK"))</f>
        <v/>
      </c>
    </row>
    <row r="120">
      <c r="A120">
        <f>IF('TEAM RATINGS'!$A120="","",'TEAM RATINGS'!$A120)</f>
        <v/>
      </c>
      <c r="B120">
        <f>IF('TEAM RATINGS'!$A120="","",'TEAM RATINGS'!$B120)</f>
        <v/>
      </c>
      <c r="G120">
        <f>IF(OR($D120="",$F120=""),"",$F120-$D120)</f>
        <v/>
      </c>
      <c r="M120">
        <f>IF($A120="","",IF(OR($G120="",$H120="L",$J120&lt;&gt;SETTINGS!$B$3),"UNCERTAIN","OK"))</f>
        <v/>
      </c>
    </row>
    <row r="121">
      <c r="A121">
        <f>IF('TEAM RATINGS'!$A121="","",'TEAM RATINGS'!$A121)</f>
        <v/>
      </c>
      <c r="B121">
        <f>IF('TEAM RATINGS'!$A121="","",'TEAM RATINGS'!$B121)</f>
        <v/>
      </c>
      <c r="G121">
        <f>IF(OR($D121="",$F121=""),"",$F121-$D121)</f>
        <v/>
      </c>
      <c r="M121">
        <f>IF($A121="","",IF(OR($G121="",$H121="L",$J121&lt;&gt;SETTINGS!$B$3),"UNCERTAIN","OK"))</f>
        <v/>
      </c>
    </row>
    <row r="122">
      <c r="A122">
        <f>IF('TEAM RATINGS'!$A122="","",'TEAM RATINGS'!$A122)</f>
        <v/>
      </c>
      <c r="B122">
        <f>IF('TEAM RATINGS'!$A122="","",'TEAM RATINGS'!$B122)</f>
        <v/>
      </c>
      <c r="G122">
        <f>IF(OR($D122="",$F122=""),"",$F122-$D122)</f>
        <v/>
      </c>
      <c r="M122">
        <f>IF($A122="","",IF(OR($G122="",$H122="L",$J122&lt;&gt;SETTINGS!$B$3),"UNCERTAIN","OK"))</f>
        <v/>
      </c>
    </row>
    <row r="123">
      <c r="A123">
        <f>IF('TEAM RATINGS'!$A123="","",'TEAM RATINGS'!$A123)</f>
        <v/>
      </c>
      <c r="B123">
        <f>IF('TEAM RATINGS'!$A123="","",'TEAM RATINGS'!$B123)</f>
        <v/>
      </c>
      <c r="G123">
        <f>IF(OR($D123="",$F123=""),"",$F123-$D123)</f>
        <v/>
      </c>
      <c r="M123">
        <f>IF($A123="","",IF(OR($G123="",$H123="L",$J123&lt;&gt;SETTINGS!$B$3),"UNCERTAIN","OK"))</f>
        <v/>
      </c>
    </row>
    <row r="124">
      <c r="A124">
        <f>IF('TEAM RATINGS'!$A124="","",'TEAM RATINGS'!$A124)</f>
        <v/>
      </c>
      <c r="B124">
        <f>IF('TEAM RATINGS'!$A124="","",'TEAM RATINGS'!$B124)</f>
        <v/>
      </c>
      <c r="G124">
        <f>IF(OR($D124="",$F124=""),"",$F124-$D124)</f>
        <v/>
      </c>
      <c r="M124">
        <f>IF($A124="","",IF(OR($G124="",$H124="L",$J124&lt;&gt;SETTINGS!$B$3),"UNCERTAIN","OK"))</f>
        <v/>
      </c>
    </row>
    <row r="125">
      <c r="A125">
        <f>IF('TEAM RATINGS'!$A125="","",'TEAM RATINGS'!$A125)</f>
        <v/>
      </c>
      <c r="B125">
        <f>IF('TEAM RATINGS'!$A125="","",'TEAM RATINGS'!$B125)</f>
        <v/>
      </c>
      <c r="G125">
        <f>IF(OR($D125="",$F125=""),"",$F125-$D125)</f>
        <v/>
      </c>
      <c r="M125">
        <f>IF($A125="","",IF(OR($G125="",$H125="L",$J125&lt;&gt;SETTINGS!$B$3),"UNCERTAIN","OK"))</f>
        <v/>
      </c>
    </row>
    <row r="126">
      <c r="A126">
        <f>IF('TEAM RATINGS'!$A126="","",'TEAM RATINGS'!$A126)</f>
        <v/>
      </c>
      <c r="B126">
        <f>IF('TEAM RATINGS'!$A126="","",'TEAM RATINGS'!$B126)</f>
        <v/>
      </c>
      <c r="G126">
        <f>IF(OR($D126="",$F126=""),"",$F126-$D126)</f>
        <v/>
      </c>
      <c r="M126">
        <f>IF($A126="","",IF(OR($G126="",$H126="L",$J126&lt;&gt;SETTINGS!$B$3),"UNCERTAIN","OK"))</f>
        <v/>
      </c>
    </row>
    <row r="127">
      <c r="A127">
        <f>IF('TEAM RATINGS'!$A127="","",'TEAM RATINGS'!$A127)</f>
        <v/>
      </c>
      <c r="B127">
        <f>IF('TEAM RATINGS'!$A127="","",'TEAM RATINGS'!$B127)</f>
        <v/>
      </c>
      <c r="G127">
        <f>IF(OR($D127="",$F127=""),"",$F127-$D127)</f>
        <v/>
      </c>
      <c r="M127">
        <f>IF($A127="","",IF(OR($G127="",$H127="L",$J127&lt;&gt;SETTINGS!$B$3),"UNCERTAIN","OK"))</f>
        <v/>
      </c>
    </row>
    <row r="128">
      <c r="A128">
        <f>IF('TEAM RATINGS'!$A128="","",'TEAM RATINGS'!$A128)</f>
        <v/>
      </c>
      <c r="B128">
        <f>IF('TEAM RATINGS'!$A128="","",'TEAM RATINGS'!$B128)</f>
        <v/>
      </c>
      <c r="G128">
        <f>IF(OR($D128="",$F128=""),"",$F128-$D128)</f>
        <v/>
      </c>
      <c r="M128">
        <f>IF($A128="","",IF(OR($G128="",$H128="L",$J128&lt;&gt;SETTINGS!$B$3),"UNCERTAIN","OK"))</f>
        <v/>
      </c>
    </row>
    <row r="129">
      <c r="A129">
        <f>IF('TEAM RATINGS'!$A129="","",'TEAM RATINGS'!$A129)</f>
        <v/>
      </c>
      <c r="B129">
        <f>IF('TEAM RATINGS'!$A129="","",'TEAM RATINGS'!$B129)</f>
        <v/>
      </c>
      <c r="G129">
        <f>IF(OR($D129="",$F129=""),"",$F129-$D129)</f>
        <v/>
      </c>
      <c r="M129">
        <f>IF($A129="","",IF(OR($G129="",$H129="L",$J129&lt;&gt;SETTINGS!$B$3),"UNCERTAIN","OK"))</f>
        <v/>
      </c>
    </row>
    <row r="130">
      <c r="A130">
        <f>IF('TEAM RATINGS'!$A130="","",'TEAM RATINGS'!$A130)</f>
        <v/>
      </c>
      <c r="B130">
        <f>IF('TEAM RATINGS'!$A130="","",'TEAM RATINGS'!$B130)</f>
        <v/>
      </c>
      <c r="G130">
        <f>IF(OR($D130="",$F130=""),"",$F130-$D130)</f>
        <v/>
      </c>
      <c r="M130">
        <f>IF($A130="","",IF(OR($G130="",$H130="L",$J130&lt;&gt;SETTINGS!$B$3),"UNCERTAIN","OK"))</f>
        <v/>
      </c>
    </row>
    <row r="131">
      <c r="A131">
        <f>IF('TEAM RATINGS'!$A131="","",'TEAM RATINGS'!$A131)</f>
        <v/>
      </c>
      <c r="B131">
        <f>IF('TEAM RATINGS'!$A131="","",'TEAM RATINGS'!$B131)</f>
        <v/>
      </c>
      <c r="G131">
        <f>IF(OR($D131="",$F131=""),"",$F131-$D131)</f>
        <v/>
      </c>
      <c r="M131">
        <f>IF($A131="","",IF(OR($G131="",$H131="L",$J131&lt;&gt;SETTINGS!$B$3),"UNCERTAIN","OK"))</f>
        <v/>
      </c>
    </row>
    <row r="132">
      <c r="A132">
        <f>IF('TEAM RATINGS'!$A132="","",'TEAM RATINGS'!$A132)</f>
        <v/>
      </c>
      <c r="B132">
        <f>IF('TEAM RATINGS'!$A132="","",'TEAM RATINGS'!$B132)</f>
        <v/>
      </c>
      <c r="G132">
        <f>IF(OR($D132="",$F132=""),"",$F132-$D132)</f>
        <v/>
      </c>
      <c r="M132">
        <f>IF($A132="","",IF(OR($G132="",$H132="L",$J132&lt;&gt;SETTINGS!$B$3),"UNCERTAIN","OK"))</f>
        <v/>
      </c>
    </row>
    <row r="133">
      <c r="A133">
        <f>IF('TEAM RATINGS'!$A133="","",'TEAM RATINGS'!$A133)</f>
        <v/>
      </c>
      <c r="B133">
        <f>IF('TEAM RATINGS'!$A133="","",'TEAM RATINGS'!$B133)</f>
        <v/>
      </c>
      <c r="G133">
        <f>IF(OR($D133="",$F133=""),"",$F133-$D133)</f>
        <v/>
      </c>
      <c r="M133">
        <f>IF($A133="","",IF(OR($G133="",$H133="L",$J133&lt;&gt;SETTINGS!$B$3),"UNCERTAIN","OK"))</f>
        <v/>
      </c>
    </row>
    <row r="134">
      <c r="A134">
        <f>IF('TEAM RATINGS'!$A134="","",'TEAM RATINGS'!$A134)</f>
        <v/>
      </c>
      <c r="B134">
        <f>IF('TEAM RATINGS'!$A134="","",'TEAM RATINGS'!$B134)</f>
        <v/>
      </c>
      <c r="G134">
        <f>IF(OR($D134="",$F134=""),"",$F134-$D134)</f>
        <v/>
      </c>
      <c r="M134">
        <f>IF($A134="","",IF(OR($G134="",$H134="L",$J134&lt;&gt;SETTINGS!$B$3),"UNCERTAIN","OK"))</f>
        <v/>
      </c>
    </row>
    <row r="135">
      <c r="A135">
        <f>IF('TEAM RATINGS'!$A135="","",'TEAM RATINGS'!$A135)</f>
        <v/>
      </c>
      <c r="B135">
        <f>IF('TEAM RATINGS'!$A135="","",'TEAM RATINGS'!$B135)</f>
        <v/>
      </c>
      <c r="G135">
        <f>IF(OR($D135="",$F135=""),"",$F135-$D135)</f>
        <v/>
      </c>
      <c r="M135">
        <f>IF($A135="","",IF(OR($G135="",$H135="L",$J135&lt;&gt;SETTINGS!$B$3),"UNCERTAIN","OK"))</f>
        <v/>
      </c>
    </row>
    <row r="136">
      <c r="A136">
        <f>IF('TEAM RATINGS'!$A136="","",'TEAM RATINGS'!$A136)</f>
        <v/>
      </c>
      <c r="B136">
        <f>IF('TEAM RATINGS'!$A136="","",'TEAM RATINGS'!$B136)</f>
        <v/>
      </c>
      <c r="G136">
        <f>IF(OR($D136="",$F136=""),"",$F136-$D136)</f>
        <v/>
      </c>
      <c r="M136">
        <f>IF($A136="","",IF(OR($G136="",$H136="L",$J136&lt;&gt;SETTINGS!$B$3),"UNCERTAIN","OK"))</f>
        <v/>
      </c>
    </row>
    <row r="137">
      <c r="A137">
        <f>IF('TEAM RATINGS'!$A137="","",'TEAM RATINGS'!$A137)</f>
        <v/>
      </c>
      <c r="B137">
        <f>IF('TEAM RATINGS'!$A137="","",'TEAM RATINGS'!$B137)</f>
        <v/>
      </c>
      <c r="G137">
        <f>IF(OR($D137="",$F137=""),"",$F137-$D137)</f>
        <v/>
      </c>
      <c r="M137">
        <f>IF($A137="","",IF(OR($G137="",$H137="L",$J137&lt;&gt;SETTINGS!$B$3),"UNCERTAIN","OK"))</f>
        <v/>
      </c>
    </row>
    <row r="138">
      <c r="A138">
        <f>IF('TEAM RATINGS'!$A138="","",'TEAM RATINGS'!$A138)</f>
        <v/>
      </c>
      <c r="B138">
        <f>IF('TEAM RATINGS'!$A138="","",'TEAM RATINGS'!$B138)</f>
        <v/>
      </c>
      <c r="G138">
        <f>IF(OR($D138="",$F138=""),"",$F138-$D138)</f>
        <v/>
      </c>
      <c r="M138">
        <f>IF($A138="","",IF(OR($G138="",$H138="L",$J138&lt;&gt;SETTINGS!$B$3),"UNCERTAIN","OK"))</f>
        <v/>
      </c>
    </row>
    <row r="139">
      <c r="A139">
        <f>IF('TEAM RATINGS'!$A139="","",'TEAM RATINGS'!$A139)</f>
        <v/>
      </c>
      <c r="B139">
        <f>IF('TEAM RATINGS'!$A139="","",'TEAM RATINGS'!$B139)</f>
        <v/>
      </c>
      <c r="G139">
        <f>IF(OR($D139="",$F139=""),"",$F139-$D139)</f>
        <v/>
      </c>
      <c r="M139">
        <f>IF($A139="","",IF(OR($G139="",$H139="L",$J139&lt;&gt;SETTINGS!$B$3),"UNCERTAIN","OK"))</f>
        <v/>
      </c>
    </row>
    <row r="140">
      <c r="A140">
        <f>IF('TEAM RATINGS'!$A140="","",'TEAM RATINGS'!$A140)</f>
        <v/>
      </c>
      <c r="B140">
        <f>IF('TEAM RATINGS'!$A140="","",'TEAM RATINGS'!$B140)</f>
        <v/>
      </c>
      <c r="G140">
        <f>IF(OR($D140="",$F140=""),"",$F140-$D140)</f>
        <v/>
      </c>
      <c r="M140">
        <f>IF($A140="","",IF(OR($G140="",$H140="L",$J140&lt;&gt;SETTINGS!$B$3),"UNCERTAIN","OK"))</f>
        <v/>
      </c>
    </row>
    <row r="141">
      <c r="A141">
        <f>IF('TEAM RATINGS'!$A141="","",'TEAM RATINGS'!$A141)</f>
        <v/>
      </c>
      <c r="B141">
        <f>IF('TEAM RATINGS'!$A141="","",'TEAM RATINGS'!$B141)</f>
        <v/>
      </c>
      <c r="G141">
        <f>IF(OR($D141="",$F141=""),"",$F141-$D141)</f>
        <v/>
      </c>
      <c r="M141">
        <f>IF($A141="","",IF(OR($G141="",$H141="L",$J141&lt;&gt;SETTINGS!$B$3),"UNCERTAIN","OK"))</f>
        <v/>
      </c>
    </row>
    <row r="142">
      <c r="A142">
        <f>IF('TEAM RATINGS'!$A142="","",'TEAM RATINGS'!$A142)</f>
        <v/>
      </c>
      <c r="B142">
        <f>IF('TEAM RATINGS'!$A142="","",'TEAM RATINGS'!$B142)</f>
        <v/>
      </c>
      <c r="G142">
        <f>IF(OR($D142="",$F142=""),"",$F142-$D142)</f>
        <v/>
      </c>
      <c r="M142">
        <f>IF($A142="","",IF(OR($G142="",$H142="L",$J142&lt;&gt;SETTINGS!$B$3),"UNCERTAIN","OK"))</f>
        <v/>
      </c>
    </row>
    <row r="143">
      <c r="A143">
        <f>IF('TEAM RATINGS'!$A143="","",'TEAM RATINGS'!$A143)</f>
        <v/>
      </c>
      <c r="B143">
        <f>IF('TEAM RATINGS'!$A143="","",'TEAM RATINGS'!$B143)</f>
        <v/>
      </c>
      <c r="G143">
        <f>IF(OR($D143="",$F143=""),"",$F143-$D143)</f>
        <v/>
      </c>
      <c r="M143">
        <f>IF($A143="","",IF(OR($G143="",$H143="L",$J143&lt;&gt;SETTINGS!$B$3),"UNCERTAIN","OK"))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N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 t="n">
        <v>2026</v>
      </c>
      <c r="C6" t="n">
        <v>0</v>
      </c>
      <c r="D6" s="1" t="n">
        <v>46263</v>
      </c>
      <c r="E6" t="b">
        <v>1</v>
      </c>
      <c r="F6" t="inlineStr">
        <is>
          <t>North Carolina Tar Heels</t>
        </is>
      </c>
      <c r="G6" t="inlineStr">
        <is>
          <t>Atlantic Coast Conference</t>
        </is>
      </c>
      <c r="H6" t="inlineStr">
        <is>
          <t>TCU Horned Frogs</t>
        </is>
      </c>
      <c r="I6" t="inlineStr">
        <is>
          <t>Big 12 Conference</t>
        </is>
      </c>
      <c r="L6" t="b">
        <v>0</v>
      </c>
      <c r="M6" t="inlineStr">
        <is>
          <t>Aviva Stadium</t>
        </is>
      </c>
      <c r="N6" t="inlineStr">
        <is>
          <t>ESPN event note: Aer Lingus College Football Classic | ESPN source: season_type=2 (regular-season), week=1. Normalized to project Week 0 (opening slate before the 2026-09-03 Week 1 kickoff).</t>
        </is>
      </c>
    </row>
    <row r="8">
      <c r="A8" t="inlineStr">
        <is>
          <t>401858202</t>
        </is>
      </c>
      <c r="B8" t="n">
        <v>2026</v>
      </c>
      <c r="C8" t="n">
        <v>0</v>
      </c>
      <c r="D8" s="1" t="n">
        <v>46263</v>
      </c>
      <c r="E8" t="b">
        <v>0</v>
      </c>
      <c r="F8" t="inlineStr">
        <is>
          <t>NC State Wolfpack</t>
        </is>
      </c>
      <c r="G8" t="inlineStr">
        <is>
          <t>Atlantic Coast Conference</t>
        </is>
      </c>
      <c r="H8" t="inlineStr">
        <is>
          <t>Virginia Cavaliers</t>
        </is>
      </c>
      <c r="I8" t="inlineStr">
        <is>
          <t>Atlantic Coast Conference</t>
        </is>
      </c>
      <c r="L8" t="b">
        <v>0</v>
      </c>
      <c r="M8" t="inlineStr">
        <is>
          <t>Scott Stadium</t>
        </is>
      </c>
      <c r="N8" t="inlineStr">
        <is>
          <t>ESPN source: season_type=2 (regular-season), week=1. Normalized to project Week 0 (opening slate before the 2026-09-03 Week 1 kickoff).</t>
        </is>
      </c>
    </row>
    <row r="9">
      <c r="A9" t="inlineStr">
        <is>
          <t>401864494</t>
        </is>
      </c>
      <c r="B9" t="n">
        <v>2026</v>
      </c>
      <c r="C9" t="n">
        <v>0</v>
      </c>
      <c r="D9" s="1" t="n">
        <v>46263</v>
      </c>
      <c r="E9" t="b">
        <v>0</v>
      </c>
      <c r="F9" t="inlineStr">
        <is>
          <t>San José State Spartans</t>
        </is>
      </c>
      <c r="G9" t="inlineStr">
        <is>
          <t>Mountain West Conference</t>
        </is>
      </c>
      <c r="H9" t="inlineStr">
        <is>
          <t>USC Trojans</t>
        </is>
      </c>
      <c r="I9" t="inlineStr">
        <is>
          <t>Big Ten Conference</t>
        </is>
      </c>
      <c r="L9" t="b">
        <v>0</v>
      </c>
      <c r="M9" t="inlineStr">
        <is>
          <t>Los Angeles Memorial Coliseum</t>
        </is>
      </c>
      <c r="N9" t="inlineStr">
        <is>
          <t>ESPN source: season_type=2 (regular-season), week=1. Normalized to project Week 0 (opening slate before the 2026-09-03 Week 1 kickoff).</t>
        </is>
      </c>
    </row>
    <row r="10">
      <c r="A10" t="inlineStr">
        <is>
          <t>401864570</t>
        </is>
      </c>
      <c r="B10" t="n">
        <v>2026</v>
      </c>
      <c r="C10" t="n">
        <v>0</v>
      </c>
      <c r="D10" s="1" t="n">
        <v>46263</v>
      </c>
      <c r="E10" t="b">
        <v>0</v>
      </c>
      <c r="F10" t="inlineStr">
        <is>
          <t>New Mexico State Aggies</t>
        </is>
      </c>
      <c r="G10" t="inlineStr">
        <is>
          <t>Conference USA</t>
        </is>
      </c>
      <c r="H10" t="inlineStr">
        <is>
          <t>Florida State Seminoles</t>
        </is>
      </c>
      <c r="I10" t="inlineStr">
        <is>
          <t>Atlantic Coast Conference</t>
        </is>
      </c>
      <c r="L10" t="b">
        <v>0</v>
      </c>
      <c r="M10" t="inlineStr">
        <is>
          <t>Doak Campbell Stadium</t>
        </is>
      </c>
      <c r="N10" t="inlineStr">
        <is>
          <t>ESPN source: season_type=2 (regular-season), week=1. Normalized to project Week 0 (opening slate before the 2026-09-03 Week 1 kickoff).</t>
        </is>
      </c>
    </row>
    <row r="11">
      <c r="A11" t="inlineStr">
        <is>
          <t>401864577</t>
        </is>
      </c>
      <c r="B11" t="n">
        <v>2026</v>
      </c>
      <c r="C11" t="n">
        <v>0</v>
      </c>
      <c r="D11" s="1" t="n">
        <v>46263</v>
      </c>
      <c r="E11" t="b">
        <v>0</v>
      </c>
      <c r="F11" t="inlineStr">
        <is>
          <t>Jacksonville State Gamecocks</t>
        </is>
      </c>
      <c r="G11" t="inlineStr">
        <is>
          <t>Conference USA</t>
        </is>
      </c>
      <c r="H11" t="inlineStr">
        <is>
          <t>North Dakota State Bison</t>
        </is>
      </c>
      <c r="I11" t="inlineStr">
        <is>
          <t>Mountain West Conference</t>
        </is>
      </c>
      <c r="L11" t="b">
        <v>0</v>
      </c>
      <c r="M11" t="inlineStr">
        <is>
          <t>Fargodome</t>
        </is>
      </c>
      <c r="N11" t="inlineStr">
        <is>
          <t>North Dakota State: ESPN structured conferenceId already matches approved 2026 assignment (Mountain West Conference). | ESPN source: season_type=2 (regular-season), week=1. Normalized to project Week 0 (opening slate before the 2026-09-03 Week 1 kickoff).</t>
        </is>
      </c>
    </row>
    <row r="14">
      <c r="A14" t="inlineStr">
        <is>
          <t>401856767</t>
        </is>
      </c>
      <c r="B14" t="n">
        <v>2026</v>
      </c>
      <c r="C14" t="n">
        <v>1</v>
      </c>
      <c r="D14" s="1" t="n">
        <v>46268</v>
      </c>
      <c r="E14" t="b">
        <v>0</v>
      </c>
      <c r="F14" t="inlineStr">
        <is>
          <t>Bethune-Cookman Wildcats</t>
        </is>
      </c>
      <c r="G14" t="inlineStr">
        <is>
          <t>Southwestern Athletic Conference</t>
        </is>
      </c>
      <c r="H14" t="inlineStr">
        <is>
          <t>UCF Knights</t>
        </is>
      </c>
      <c r="I14" t="inlineStr">
        <is>
          <t>Big 12 Conference</t>
        </is>
      </c>
      <c r="L14" t="b">
        <v>0</v>
      </c>
      <c r="M14" t="inlineStr">
        <is>
          <t>Acrisure Bounce House</t>
        </is>
      </c>
    </row>
    <row r="15">
      <c r="A15" t="inlineStr">
        <is>
          <t>401858204</t>
        </is>
      </c>
      <c r="B15" t="n">
        <v>2026</v>
      </c>
      <c r="C15" t="n">
        <v>1</v>
      </c>
      <c r="D15" s="1" t="n">
        <v>46268</v>
      </c>
      <c r="E15" t="b">
        <v>0</v>
      </c>
      <c r="F15" t="inlineStr">
        <is>
          <t>Akron Zips</t>
        </is>
      </c>
      <c r="G15" t="inlineStr">
        <is>
          <t>Mid-American Conference</t>
        </is>
      </c>
      <c r="H15" t="inlineStr">
        <is>
          <t>Wake Forest Demon Deacons</t>
        </is>
      </c>
      <c r="I15" t="inlineStr">
        <is>
          <t>Atlantic Coast Conference</t>
        </is>
      </c>
      <c r="L15" t="b">
        <v>0</v>
      </c>
      <c r="M15" t="inlineStr">
        <is>
          <t>Allegacy Federal Credit Union Stadium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6:AG15"/>
  <sheetViews>
    <sheetView workbookViewId="0">
      <selection activeCell="A1" sqref="A1"/>
    </sheetView>
  </sheetViews>
  <sheetFormatPr baseColWidth="8" defaultRowHeight="15"/>
  <sheetData>
    <row r="6">
      <c r="A6">
        <f>IF('IMPORT SCHEDULE'!A6="","",'IMPORT SCHEDULE'!A6)</f>
        <v/>
      </c>
      <c r="B6">
        <f>IF($A6="","",'IMPORT SCHEDULE'!B6)</f>
        <v/>
      </c>
      <c r="C6">
        <f>IF($A6="","",'IMPORT SCHEDULE'!C6)</f>
        <v/>
      </c>
      <c r="D6">
        <f>IF($A6="","",'IMPORT SCHEDULE'!D6)</f>
        <v/>
      </c>
      <c r="E6">
        <f>IF($A6="","",IF(OR('IMPORT SCHEDULE'!E6=TRUE(),'IMPORT SCHEDULE'!E6="TRUE",'IMPORT SCHEDULE'!E6="true",'IMPORT SCHEDULE'!E6=1),1,0))</f>
        <v/>
      </c>
      <c r="F6">
        <f>IF($A6="","",'IMPORT SCHEDULE'!F6)</f>
        <v/>
      </c>
      <c r="G6">
        <f>IF($A6="","",'IMPORT SCHEDULE'!G6)</f>
        <v/>
      </c>
      <c r="H6">
        <f>IF($A6="","",'IMPORT SCHEDULE'!H6)</f>
        <v/>
      </c>
      <c r="I6">
        <f>IF($A6="","",'IMPORT SCHEDULE'!I6)</f>
        <v/>
      </c>
      <c r="J6">
        <f>IF($A6="","",IF('IMPORT SCHEDULE'!J6="","",'IMPORT SCHEDULE'!J6))</f>
        <v/>
      </c>
      <c r="K6">
        <f>IF($A6="","",IF('IMPORT SCHEDULE'!K6="","",'IMPORT SCHEDULE'!K6))</f>
        <v/>
      </c>
      <c r="L6">
        <f>IF($A6="","",IF(OR('IMPORT SCHEDULE'!L6=TRUE(),'IMPORT SCHEDULE'!L6="TRUE",'IMPORT SCHEDULE'!L6="true",'IMPORT SCHEDULE'!L6=1,AND(ISNUMBER($J6),ISNUMBER($K6))),1,0))</f>
        <v/>
      </c>
      <c r="M6">
        <f>IF($A6="","",COUNTIF($A$6:$A$1005,$A6))</f>
        <v/>
      </c>
      <c r="N6">
        <f>IF($F6="","",IF(ISNA(MATCH($F6,'TEAM MAP'!$K$6:$K$605,0)),"",INDEX('TEAM MAP'!$L$6:$L$605,MATCH($F6,'TEAM MAP'!$K$6:$K$605,0))))</f>
        <v/>
      </c>
      <c r="O6">
        <f>IF($F6="","",IF($N6&lt;&gt;"","FBS",IF(ISNA(MATCH($G6,'TEAM MAP'!$N$6:$N$40,0)),"FCS","BLOCK")))</f>
        <v/>
      </c>
      <c r="P6">
        <f>IF($H6="","",IF(ISNA(MATCH($H6,'TEAM MAP'!$K$6:$K$605,0)),"",INDEX('TEAM MAP'!$L$6:$L$605,MATCH($H6,'TEAM MAP'!$K$6:$K$605,0))))</f>
        <v/>
      </c>
      <c r="Q6">
        <f>IF($H6="","",IF($P6&lt;&gt;"","FBS",IF(ISNA(MATCH($I6,'TEAM MAP'!$N$6:$N$40,0)),"FCS","BLOCK")))</f>
        <v/>
      </c>
      <c r="R6">
        <f>IF($A6="","",IF($O6="FBS",IF(ISNA(MATCH($N6,PRESEASON!$A$6:$A$143,0)),"",IF(INDEX(PRESEASON!$Z$6:$Z$143,MATCH($N6,PRESEASON!$A$6:$A$143,0))="","",INDEX(PRESEASON!$Z$6:$Z$143,MATCH($N6,PRESEASON!$A$6:$A$143,0)))),IF($O6="FCS",IF(COUNTIF('FCS TIERS'!$J$6:$J$105,$F6)&gt;0,IF(INDEX('FCS TIERS'!$K$6:$K$105,MATCH($F6,'FCS TIERS'!$J$6:$J$105,0))="","",INDEX('FCS TIERS'!$K$6:$K$105,MATCH($F6,'FCS TIERS'!$J$6:$J$105,0))),IF(COUNTIF('FCS TIERS'!$F$6:$F$205,$F6)&gt;0,IF(ISNA(MATCH(INDEX('FCS TIERS'!$G$6:$G$205,MATCH($F6,'FCS TIERS'!$F$6:$F$205,0)),'FCS TIERS'!$A$6:$A$10,0)),"",IF(INDEX('FCS TIERS'!$B$6:$B$10,MATCH(INDEX('FCS TIERS'!$G$6:$G$205,MATCH($F6,'FCS TIERS'!$F$6:$F$205,0)),'FCS TIERS'!$A$6:$A$10,0))="","",INDEX('FCS TIERS'!$B$6:$B$10,MATCH(INDEX('FCS TIERS'!$G$6:$G$205,MATCH($F6,'FCS TIERS'!$F$6:$F$205,0)),'FCS TIERS'!$A$6:$A$10,0)))),"")),"")))</f>
        <v/>
      </c>
      <c r="S6">
        <f>IF($A6="","",IF($Q6="FBS",IF(ISNA(MATCH($P6,PRESEASON!$A$6:$A$143,0)),"",IF(INDEX(PRESEASON!$Z$6:$Z$143,MATCH($P6,PRESEASON!$A$6:$A$143,0))="","",INDEX(PRESEASON!$Z$6:$Z$143,MATCH($P6,PRESEASON!$A$6:$A$143,0)))),IF($Q6="FCS",IF(COUNTIF('FCS TIERS'!$J$6:$J$105,$H6)&gt;0,IF(INDEX('FCS TIERS'!$K$6:$K$105,MATCH($H6,'FCS TIERS'!$J$6:$J$105,0))="","",INDEX('FCS TIERS'!$K$6:$K$105,MATCH($H6,'FCS TIERS'!$J$6:$J$105,0))),IF(COUNTIF('FCS TIERS'!$F$6:$F$205,$H6)&gt;0,IF(ISNA(MATCH(INDEX('FCS TIERS'!$G$6:$G$205,MATCH($H6,'FCS TIERS'!$F$6:$F$205,0)),'FCS TIERS'!$A$6:$A$10,0)),"",IF(INDEX('FCS TIERS'!$B$6:$B$10,MATCH(INDEX('FCS TIERS'!$G$6:$G$205,MATCH($H6,'FCS TIERS'!$F$6:$F$205,0)),'FCS TIERS'!$A$6:$A$10,0))="","",INDEX('FCS TIERS'!$B$6:$B$10,MATCH(INDEX('FCS TIERS'!$G$6:$G$205,MATCH($H6,'FCS TIERS'!$F$6:$F$205,0)),'FCS TIERS'!$A$6:$A$10,0)))),"")),"")))</f>
        <v/>
      </c>
      <c r="T6">
        <f>IF(OR($A6="",$L6&lt;&gt;1,NOT(ISNUMBER($J6)),NOT(ISNUMBER($K6))),"",$K6-$J6)</f>
        <v/>
      </c>
      <c r="U6">
        <f>IF(OR($T6="",NOT(ISNUMBER($R6))),"",MAX(-SETTINGS!$B$14,MIN(SETTINGS!$B$14,$T6-IF($E6=1,0,SETTINGS!$B$6)))-$R6)</f>
        <v/>
      </c>
      <c r="V6">
        <f>IF(OR($T6="",NOT(ISNUMBER($S6))),"",MAX(-SETTINGS!$B$14,MIN(SETTINGS!$B$14,-$T6+IF($E6=1,0,SETTINGS!$B$6)))-$S6)</f>
        <v/>
      </c>
      <c r="W6">
        <f>IF($A6="","",IF(OR(SETTINGS!$B$4="",NOT(ISNUMBER($C6))),1,SETTINGS!$B$20^MAX(0,SETTINGS!$B$4-$C6)))</f>
        <v/>
      </c>
      <c r="X6">
        <f>IF(OR($A6="",NOT(ISNUMBER($U6))),0,$U6*$W6)</f>
        <v/>
      </c>
      <c r="Y6">
        <f>IF(OR($A6="",NOT(ISNUMBER($U6))),0,$W6)</f>
        <v/>
      </c>
      <c r="Z6">
        <f>IF(OR($A6="",NOT(ISNUMBER($V6))),0,$V6*$W6)</f>
        <v/>
      </c>
      <c r="AA6">
        <f>IF(OR($A6="",NOT(ISNUMBER($V6))),0,$W6)</f>
        <v/>
      </c>
      <c r="AB6">
        <f>IF($A6="",0,$L6*IF($O6="FBS",1,0))</f>
        <v/>
      </c>
      <c r="AC6">
        <f>IF($A6="",0,$L6*IF($Q6="FBS",1,0))</f>
        <v/>
      </c>
      <c r="AD6">
        <f>IF($A6="",0,$L6*IF($O6="FBS",1,0))</f>
        <v/>
      </c>
      <c r="AE6">
        <f>IF($A6="",0,$L6*IF($Q6="FBS",1,0))</f>
        <v/>
      </c>
      <c r="AF6">
        <f>IF($A6="","",IF($N6&lt;&gt;"",$N6,$F6))</f>
        <v/>
      </c>
      <c r="AG6">
        <f>IF($A6="","",IF($P6&lt;&gt;"",$P6,$H6))</f>
        <v/>
      </c>
    </row>
    <row r="8">
      <c r="A8">
        <f>IF('IMPORT SCHEDULE'!A8="","",'IMPORT SCHEDULE'!A8)</f>
        <v/>
      </c>
      <c r="B8">
        <f>IF($A8="","",'IMPORT SCHEDULE'!B8)</f>
        <v/>
      </c>
      <c r="C8">
        <f>IF($A8="","",'IMPORT SCHEDULE'!C8)</f>
        <v/>
      </c>
      <c r="D8">
        <f>IF($A8="","",'IMPORT SCHEDULE'!D8)</f>
        <v/>
      </c>
      <c r="E8">
        <f>IF($A8="","",IF(OR('IMPORT SCHEDULE'!E8=TRUE(),'IMPORT SCHEDULE'!E8="TRUE",'IMPORT SCHEDULE'!E8="true",'IMPORT SCHEDULE'!E8=1),1,0))</f>
        <v/>
      </c>
      <c r="F8">
        <f>IF($A8="","",'IMPORT SCHEDULE'!F8)</f>
        <v/>
      </c>
      <c r="G8">
        <f>IF($A8="","",'IMPORT SCHEDULE'!G8)</f>
        <v/>
      </c>
      <c r="H8">
        <f>IF($A8="","",'IMPORT SCHEDULE'!H8)</f>
        <v/>
      </c>
      <c r="I8">
        <f>IF($A8="","",'IMPORT SCHEDULE'!I8)</f>
        <v/>
      </c>
      <c r="J8">
        <f>IF($A8="","",IF('IMPORT SCHEDULE'!J8="","",'IMPORT SCHEDULE'!J8))</f>
        <v/>
      </c>
      <c r="K8">
        <f>IF($A8="","",IF('IMPORT SCHEDULE'!K8="","",'IMPORT SCHEDULE'!K8))</f>
        <v/>
      </c>
      <c r="L8">
        <f>IF($A8="","",IF(OR('IMPORT SCHEDULE'!L8=TRUE(),'IMPORT SCHEDULE'!L8="TRUE",'IMPORT SCHEDULE'!L8="true",'IMPORT SCHEDULE'!L8=1,AND(ISNUMBER($J8),ISNUMBER($K8))),1,0))</f>
        <v/>
      </c>
      <c r="M8">
        <f>IF($A8="","",COUNTIF($A$6:$A$1005,$A8))</f>
        <v/>
      </c>
      <c r="N8">
        <f>IF($F8="","",IF(ISNA(MATCH($F8,'TEAM MAP'!$K$6:$K$605,0)),"",INDEX('TEAM MAP'!$L$6:$L$605,MATCH($F8,'TEAM MAP'!$K$6:$K$605,0))))</f>
        <v/>
      </c>
      <c r="O8">
        <f>IF($F8="","",IF($N8&lt;&gt;"","FBS",IF(ISNA(MATCH($G8,'TEAM MAP'!$N$6:$N$40,0)),"FCS","BLOCK")))</f>
        <v/>
      </c>
      <c r="P8">
        <f>IF($H8="","",IF(ISNA(MATCH($H8,'TEAM MAP'!$K$6:$K$605,0)),"",INDEX('TEAM MAP'!$L$6:$L$605,MATCH($H8,'TEAM MAP'!$K$6:$K$605,0))))</f>
        <v/>
      </c>
      <c r="Q8">
        <f>IF($H8="","",IF($P8&lt;&gt;"","FBS",IF(ISNA(MATCH($I8,'TEAM MAP'!$N$6:$N$40,0)),"FCS","BLOCK")))</f>
        <v/>
      </c>
      <c r="R8">
        <f>IF($A8="","",IF($O8="FBS",IF(ISNA(MATCH($N8,PRESEASON!$A$6:$A$143,0)),"",IF(INDEX(PRESEASON!$Z$6:$Z$143,MATCH($N8,PRESEASON!$A$6:$A$143,0))="","",INDEX(PRESEASON!$Z$6:$Z$143,MATCH($N8,PRESEASON!$A$6:$A$143,0)))),IF($O8="FCS",IF(COUNTIF('FCS TIERS'!$J$6:$J$105,$F8)&gt;0,IF(INDEX('FCS TIERS'!$K$6:$K$105,MATCH($F8,'FCS TIERS'!$J$6:$J$105,0))="","",INDEX('FCS TIERS'!$K$6:$K$105,MATCH($F8,'FCS TIERS'!$J$6:$J$105,0))),IF(COUNTIF('FCS TIERS'!$F$6:$F$205,$F8)&gt;0,IF(ISNA(MATCH(INDEX('FCS TIERS'!$G$6:$G$205,MATCH($F8,'FCS TIERS'!$F$6:$F$205,0)),'FCS TIERS'!$A$6:$A$10,0)),"",IF(INDEX('FCS TIERS'!$B$6:$B$10,MATCH(INDEX('FCS TIERS'!$G$6:$G$205,MATCH($F8,'FCS TIERS'!$F$6:$F$205,0)),'FCS TIERS'!$A$6:$A$10,0))="","",INDEX('FCS TIERS'!$B$6:$B$10,MATCH(INDEX('FCS TIERS'!$G$6:$G$205,MATCH($F8,'FCS TIERS'!$F$6:$F$205,0)),'FCS TIERS'!$A$6:$A$10,0)))),"")),"")))</f>
        <v/>
      </c>
      <c r="S8">
        <f>IF($A8="","",IF($Q8="FBS",IF(ISNA(MATCH($P8,PRESEASON!$A$6:$A$143,0)),"",IF(INDEX(PRESEASON!$Z$6:$Z$143,MATCH($P8,PRESEASON!$A$6:$A$143,0))="","",INDEX(PRESEASON!$Z$6:$Z$143,MATCH($P8,PRESEASON!$A$6:$A$143,0)))),IF($Q8="FCS",IF(COUNTIF('FCS TIERS'!$J$6:$J$105,$H8)&gt;0,IF(INDEX('FCS TIERS'!$K$6:$K$105,MATCH($H8,'FCS TIERS'!$J$6:$J$105,0))="","",INDEX('FCS TIERS'!$K$6:$K$105,MATCH($H8,'FCS TIERS'!$J$6:$J$105,0))),IF(COUNTIF('FCS TIERS'!$F$6:$F$205,$H8)&gt;0,IF(ISNA(MATCH(INDEX('FCS TIERS'!$G$6:$G$205,MATCH($H8,'FCS TIERS'!$F$6:$F$205,0)),'FCS TIERS'!$A$6:$A$10,0)),"",IF(INDEX('FCS TIERS'!$B$6:$B$10,MATCH(INDEX('FCS TIERS'!$G$6:$G$205,MATCH($H8,'FCS TIERS'!$F$6:$F$205,0)),'FCS TIERS'!$A$6:$A$10,0))="","",INDEX('FCS TIERS'!$B$6:$B$10,MATCH(INDEX('FCS TIERS'!$G$6:$G$205,MATCH($H8,'FCS TIERS'!$F$6:$F$205,0)),'FCS TIERS'!$A$6:$A$10,0)))),"")),"")))</f>
        <v/>
      </c>
      <c r="T8">
        <f>IF(OR($A8="",$L8&lt;&gt;1,NOT(ISNUMBER($J8)),NOT(ISNUMBER($K8))),"",$K8-$J8)</f>
        <v/>
      </c>
      <c r="U8">
        <f>IF(OR($T8="",NOT(ISNUMBER($R8))),"",MAX(-SETTINGS!$B$14,MIN(SETTINGS!$B$14,$T8-IF($E8=1,0,SETTINGS!$B$6)))-$R8)</f>
        <v/>
      </c>
      <c r="V8">
        <f>IF(OR($T8="",NOT(ISNUMBER($S8))),"",MAX(-SETTINGS!$B$14,MIN(SETTINGS!$B$14,-$T8+IF($E8=1,0,SETTINGS!$B$6)))-$S8)</f>
        <v/>
      </c>
      <c r="W8">
        <f>IF($A8="","",IF(OR(SETTINGS!$B$4="",NOT(ISNUMBER($C8))),1,SETTINGS!$B$20^MAX(0,SETTINGS!$B$4-$C8)))</f>
        <v/>
      </c>
      <c r="X8">
        <f>IF(OR($A8="",NOT(ISNUMBER($U8))),0,$U8*$W8)</f>
        <v/>
      </c>
      <c r="Y8">
        <f>IF(OR($A8="",NOT(ISNUMBER($U8))),0,$W8)</f>
        <v/>
      </c>
      <c r="Z8">
        <f>IF(OR($A8="",NOT(ISNUMBER($V8))),0,$V8*$W8)</f>
        <v/>
      </c>
      <c r="AA8">
        <f>IF(OR($A8="",NOT(ISNUMBER($V8))),0,$W8)</f>
        <v/>
      </c>
      <c r="AB8">
        <f>IF($A8="",0,$L8*IF($O8="FBS",1,0))</f>
        <v/>
      </c>
      <c r="AC8">
        <f>IF($A8="",0,$L8*IF($Q8="FBS",1,0))</f>
        <v/>
      </c>
      <c r="AD8">
        <f>IF($A8="",0,$L8*IF($O8="FBS",1,0))</f>
        <v/>
      </c>
      <c r="AE8">
        <f>IF($A8="",0,$L8*IF($Q8="FBS",1,0))</f>
        <v/>
      </c>
      <c r="AF8">
        <f>IF($A8="","",IF($N8&lt;&gt;"",$N8,$F8))</f>
        <v/>
      </c>
      <c r="AG8">
        <f>IF($A8="","",IF($P8&lt;&gt;"",$P8,$H8))</f>
        <v/>
      </c>
    </row>
    <row r="9">
      <c r="A9">
        <f>IF('IMPORT SCHEDULE'!A9="","",'IMPORT SCHEDULE'!A9)</f>
        <v/>
      </c>
      <c r="B9">
        <f>IF($A9="","",'IMPORT SCHEDULE'!B9)</f>
        <v/>
      </c>
      <c r="C9">
        <f>IF($A9="","",'IMPORT SCHEDULE'!C9)</f>
        <v/>
      </c>
      <c r="D9">
        <f>IF($A9="","",'IMPORT SCHEDULE'!D9)</f>
        <v/>
      </c>
      <c r="E9">
        <f>IF($A9="","",IF(OR('IMPORT SCHEDULE'!E9=TRUE(),'IMPORT SCHEDULE'!E9="TRUE",'IMPORT SCHEDULE'!E9="true",'IMPORT SCHEDULE'!E9=1),1,0))</f>
        <v/>
      </c>
      <c r="F9">
        <f>IF($A9="","",'IMPORT SCHEDULE'!F9)</f>
        <v/>
      </c>
      <c r="G9">
        <f>IF($A9="","",'IMPORT SCHEDULE'!G9)</f>
        <v/>
      </c>
      <c r="H9">
        <f>IF($A9="","",'IMPORT SCHEDULE'!H9)</f>
        <v/>
      </c>
      <c r="I9">
        <f>IF($A9="","",'IMPORT SCHEDULE'!I9)</f>
        <v/>
      </c>
      <c r="J9">
        <f>IF($A9="","",IF('IMPORT SCHEDULE'!J9="","",'IMPORT SCHEDULE'!J9))</f>
        <v/>
      </c>
      <c r="K9">
        <f>IF($A9="","",IF('IMPORT SCHEDULE'!K9="","",'IMPORT SCHEDULE'!K9))</f>
        <v/>
      </c>
      <c r="L9">
        <f>IF($A9="","",IF(OR('IMPORT SCHEDULE'!L9=TRUE(),'IMPORT SCHEDULE'!L9="TRUE",'IMPORT SCHEDULE'!L9="true",'IMPORT SCHEDULE'!L9=1,AND(ISNUMBER($J9),ISNUMBER($K9))),1,0))</f>
        <v/>
      </c>
      <c r="M9">
        <f>IF($A9="","",COUNTIF($A$6:$A$1005,$A9))</f>
        <v/>
      </c>
      <c r="N9">
        <f>IF($F9="","",IF(ISNA(MATCH($F9,'TEAM MAP'!$K$6:$K$605,0)),"",INDEX('TEAM MAP'!$L$6:$L$605,MATCH($F9,'TEAM MAP'!$K$6:$K$605,0))))</f>
        <v/>
      </c>
      <c r="O9">
        <f>IF($F9="","",IF($N9&lt;&gt;"","FBS",IF(ISNA(MATCH($G9,'TEAM MAP'!$N$6:$N$40,0)),"FCS","BLOCK")))</f>
        <v/>
      </c>
      <c r="P9">
        <f>IF($H9="","",IF(ISNA(MATCH($H9,'TEAM MAP'!$K$6:$K$605,0)),"",INDEX('TEAM MAP'!$L$6:$L$605,MATCH($H9,'TEAM MAP'!$K$6:$K$605,0))))</f>
        <v/>
      </c>
      <c r="Q9">
        <f>IF($H9="","",IF($P9&lt;&gt;"","FBS",IF(ISNA(MATCH($I9,'TEAM MAP'!$N$6:$N$40,0)),"FCS","BLOCK")))</f>
        <v/>
      </c>
      <c r="R9">
        <f>IF($A9="","",IF($O9="FBS",IF(ISNA(MATCH($N9,PRESEASON!$A$6:$A$143,0)),"",IF(INDEX(PRESEASON!$Z$6:$Z$143,MATCH($N9,PRESEASON!$A$6:$A$143,0))="","",INDEX(PRESEASON!$Z$6:$Z$143,MATCH($N9,PRESEASON!$A$6:$A$143,0)))),IF($O9="FCS",IF(COUNTIF('FCS TIERS'!$J$6:$J$105,$F9)&gt;0,IF(INDEX('FCS TIERS'!$K$6:$K$105,MATCH($F9,'FCS TIERS'!$J$6:$J$105,0))="","",INDEX('FCS TIERS'!$K$6:$K$105,MATCH($F9,'FCS TIERS'!$J$6:$J$105,0))),IF(COUNTIF('FCS TIERS'!$F$6:$F$205,$F9)&gt;0,IF(ISNA(MATCH(INDEX('FCS TIERS'!$G$6:$G$205,MATCH($F9,'FCS TIERS'!$F$6:$F$205,0)),'FCS TIERS'!$A$6:$A$10,0)),"",IF(INDEX('FCS TIERS'!$B$6:$B$10,MATCH(INDEX('FCS TIERS'!$G$6:$G$205,MATCH($F9,'FCS TIERS'!$F$6:$F$205,0)),'FCS TIERS'!$A$6:$A$10,0))="","",INDEX('FCS TIERS'!$B$6:$B$10,MATCH(INDEX('FCS TIERS'!$G$6:$G$205,MATCH($F9,'FCS TIERS'!$F$6:$F$205,0)),'FCS TIERS'!$A$6:$A$10,0)))),"")),"")))</f>
        <v/>
      </c>
      <c r="S9">
        <f>IF($A9="","",IF($Q9="FBS",IF(ISNA(MATCH($P9,PRESEASON!$A$6:$A$143,0)),"",IF(INDEX(PRESEASON!$Z$6:$Z$143,MATCH($P9,PRESEASON!$A$6:$A$143,0))="","",INDEX(PRESEASON!$Z$6:$Z$143,MATCH($P9,PRESEASON!$A$6:$A$143,0)))),IF($Q9="FCS",IF(COUNTIF('FCS TIERS'!$J$6:$J$105,$H9)&gt;0,IF(INDEX('FCS TIERS'!$K$6:$K$105,MATCH($H9,'FCS TIERS'!$J$6:$J$105,0))="","",INDEX('FCS TIERS'!$K$6:$K$105,MATCH($H9,'FCS TIERS'!$J$6:$J$105,0))),IF(COUNTIF('FCS TIERS'!$F$6:$F$205,$H9)&gt;0,IF(ISNA(MATCH(INDEX('FCS TIERS'!$G$6:$G$205,MATCH($H9,'FCS TIERS'!$F$6:$F$205,0)),'FCS TIERS'!$A$6:$A$10,0)),"",IF(INDEX('FCS TIERS'!$B$6:$B$10,MATCH(INDEX('FCS TIERS'!$G$6:$G$205,MATCH($H9,'FCS TIERS'!$F$6:$F$205,0)),'FCS TIERS'!$A$6:$A$10,0))="","",INDEX('FCS TIERS'!$B$6:$B$10,MATCH(INDEX('FCS TIERS'!$G$6:$G$205,MATCH($H9,'FCS TIERS'!$F$6:$F$205,0)),'FCS TIERS'!$A$6:$A$10,0)))),"")),"")))</f>
        <v/>
      </c>
      <c r="T9">
        <f>IF(OR($A9="",$L9&lt;&gt;1,NOT(ISNUMBER($J9)),NOT(ISNUMBER($K9))),"",$K9-$J9)</f>
        <v/>
      </c>
      <c r="U9">
        <f>IF(OR($T9="",NOT(ISNUMBER($R9))),"",MAX(-SETTINGS!$B$14,MIN(SETTINGS!$B$14,$T9-IF($E9=1,0,SETTINGS!$B$6)))-$R9)</f>
        <v/>
      </c>
      <c r="V9">
        <f>IF(OR($T9="",NOT(ISNUMBER($S9))),"",MAX(-SETTINGS!$B$14,MIN(SETTINGS!$B$14,-$T9+IF($E9=1,0,SETTINGS!$B$6)))-$S9)</f>
        <v/>
      </c>
      <c r="W9">
        <f>IF($A9="","",IF(OR(SETTINGS!$B$4="",NOT(ISNUMBER($C9))),1,SETTINGS!$B$20^MAX(0,SETTINGS!$B$4-$C9)))</f>
        <v/>
      </c>
      <c r="X9">
        <f>IF(OR($A9="",NOT(ISNUMBER($U9))),0,$U9*$W9)</f>
        <v/>
      </c>
      <c r="Y9">
        <f>IF(OR($A9="",NOT(ISNUMBER($U9))),0,$W9)</f>
        <v/>
      </c>
      <c r="Z9">
        <f>IF(OR($A9="",NOT(ISNUMBER($V9))),0,$V9*$W9)</f>
        <v/>
      </c>
      <c r="AA9">
        <f>IF(OR($A9="",NOT(ISNUMBER($V9))),0,$W9)</f>
        <v/>
      </c>
      <c r="AB9">
        <f>IF($A9="",0,$L9*IF($O9="FBS",1,0))</f>
        <v/>
      </c>
      <c r="AC9">
        <f>IF($A9="",0,$L9*IF($Q9="FBS",1,0))</f>
        <v/>
      </c>
      <c r="AD9">
        <f>IF($A9="",0,$L9*IF($O9="FBS",1,0))</f>
        <v/>
      </c>
      <c r="AE9">
        <f>IF($A9="",0,$L9*IF($Q9="FBS",1,0))</f>
        <v/>
      </c>
      <c r="AF9">
        <f>IF($A9="","",IF($N9&lt;&gt;"",$N9,$F9))</f>
        <v/>
      </c>
      <c r="AG9">
        <f>IF($A9="","",IF($P9&lt;&gt;"",$P9,$H9))</f>
        <v/>
      </c>
    </row>
    <row r="10">
      <c r="A10">
        <f>IF('IMPORT SCHEDULE'!A10="","",'IMPORT SCHEDULE'!A10)</f>
        <v/>
      </c>
      <c r="B10">
        <f>IF($A10="","",'IMPORT SCHEDULE'!B10)</f>
        <v/>
      </c>
      <c r="C10">
        <f>IF($A10="","",'IMPORT SCHEDULE'!C10)</f>
        <v/>
      </c>
      <c r="D10">
        <f>IF($A10="","",'IMPORT SCHEDULE'!D10)</f>
        <v/>
      </c>
      <c r="E10">
        <f>IF($A10="","",IF(OR('IMPORT SCHEDULE'!E10=TRUE(),'IMPORT SCHEDULE'!E10="TRUE",'IMPORT SCHEDULE'!E10="true",'IMPORT SCHEDULE'!E10=1),1,0))</f>
        <v/>
      </c>
      <c r="F10">
        <f>IF($A10="","",'IMPORT SCHEDULE'!F10)</f>
        <v/>
      </c>
      <c r="G10">
        <f>IF($A10="","",'IMPORT SCHEDULE'!G10)</f>
        <v/>
      </c>
      <c r="H10">
        <f>IF($A10="","",'IMPORT SCHEDULE'!H10)</f>
        <v/>
      </c>
      <c r="I10">
        <f>IF($A10="","",'IMPORT SCHEDULE'!I10)</f>
        <v/>
      </c>
      <c r="J10">
        <f>IF($A10="","",IF('IMPORT SCHEDULE'!J10="","",'IMPORT SCHEDULE'!J10))</f>
        <v/>
      </c>
      <c r="K10">
        <f>IF($A10="","",IF('IMPORT SCHEDULE'!K10="","",'IMPORT SCHEDULE'!K10))</f>
        <v/>
      </c>
      <c r="L10">
        <f>IF($A10="","",IF(OR('IMPORT SCHEDULE'!L10=TRUE(),'IMPORT SCHEDULE'!L10="TRUE",'IMPORT SCHEDULE'!L10="true",'IMPORT SCHEDULE'!L10=1,AND(ISNUMBER($J10),ISNUMBER($K10))),1,0))</f>
        <v/>
      </c>
      <c r="M10">
        <f>IF($A10="","",COUNTIF($A$6:$A$1005,$A10))</f>
        <v/>
      </c>
      <c r="N10">
        <f>IF($F10="","",IF(ISNA(MATCH($F10,'TEAM MAP'!$K$6:$K$605,0)),"",INDEX('TEAM MAP'!$L$6:$L$605,MATCH($F10,'TEAM MAP'!$K$6:$K$605,0))))</f>
        <v/>
      </c>
      <c r="O10">
        <f>IF($F10="","",IF($N10&lt;&gt;"","FBS",IF(ISNA(MATCH($G10,'TEAM MAP'!$N$6:$N$40,0)),"FCS","BLOCK")))</f>
        <v/>
      </c>
      <c r="P10">
        <f>IF($H10="","",IF(ISNA(MATCH($H10,'TEAM MAP'!$K$6:$K$605,0)),"",INDEX('TEAM MAP'!$L$6:$L$605,MATCH($H10,'TEAM MAP'!$K$6:$K$605,0))))</f>
        <v/>
      </c>
      <c r="Q10">
        <f>IF($H10="","",IF($P10&lt;&gt;"","FBS",IF(ISNA(MATCH($I10,'TEAM MAP'!$N$6:$N$40,0)),"FCS","BLOCK")))</f>
        <v/>
      </c>
      <c r="R10">
        <f>IF($A10="","",IF($O10="FBS",IF(ISNA(MATCH($N10,PRESEASON!$A$6:$A$143,0)),"",IF(INDEX(PRESEASON!$Z$6:$Z$143,MATCH($N10,PRESEASON!$A$6:$A$143,0))="","",INDEX(PRESEASON!$Z$6:$Z$143,MATCH($N10,PRESEASON!$A$6:$A$143,0)))),IF($O10="FCS",IF(COUNTIF('FCS TIERS'!$J$6:$J$105,$F10)&gt;0,IF(INDEX('FCS TIERS'!$K$6:$K$105,MATCH($F10,'FCS TIERS'!$J$6:$J$105,0))="","",INDEX('FCS TIERS'!$K$6:$K$105,MATCH($F10,'FCS TIERS'!$J$6:$J$105,0))),IF(COUNTIF('FCS TIERS'!$F$6:$F$205,$F10)&gt;0,IF(ISNA(MATCH(INDEX('FCS TIERS'!$G$6:$G$205,MATCH($F10,'FCS TIERS'!$F$6:$F$205,0)),'FCS TIERS'!$A$6:$A$10,0)),"",IF(INDEX('FCS TIERS'!$B$6:$B$10,MATCH(INDEX('FCS TIERS'!$G$6:$G$205,MATCH($F10,'FCS TIERS'!$F$6:$F$205,0)),'FCS TIERS'!$A$6:$A$10,0))="","",INDEX('FCS TIERS'!$B$6:$B$10,MATCH(INDEX('FCS TIERS'!$G$6:$G$205,MATCH($F10,'FCS TIERS'!$F$6:$F$205,0)),'FCS TIERS'!$A$6:$A$10,0)))),"")),"")))</f>
        <v/>
      </c>
      <c r="S10">
        <f>IF($A10="","",IF($Q10="FBS",IF(ISNA(MATCH($P10,PRESEASON!$A$6:$A$143,0)),"",IF(INDEX(PRESEASON!$Z$6:$Z$143,MATCH($P10,PRESEASON!$A$6:$A$143,0))="","",INDEX(PRESEASON!$Z$6:$Z$143,MATCH($P10,PRESEASON!$A$6:$A$143,0)))),IF($Q10="FCS",IF(COUNTIF('FCS TIERS'!$J$6:$J$105,$H10)&gt;0,IF(INDEX('FCS TIERS'!$K$6:$K$105,MATCH($H10,'FCS TIERS'!$J$6:$J$105,0))="","",INDEX('FCS TIERS'!$K$6:$K$105,MATCH($H10,'FCS TIERS'!$J$6:$J$105,0))),IF(COUNTIF('FCS TIERS'!$F$6:$F$205,$H10)&gt;0,IF(ISNA(MATCH(INDEX('FCS TIERS'!$G$6:$G$205,MATCH($H10,'FCS TIERS'!$F$6:$F$205,0)),'FCS TIERS'!$A$6:$A$10,0)),"",IF(INDEX('FCS TIERS'!$B$6:$B$10,MATCH(INDEX('FCS TIERS'!$G$6:$G$205,MATCH($H10,'FCS TIERS'!$F$6:$F$205,0)),'FCS TIERS'!$A$6:$A$10,0))="","",INDEX('FCS TIERS'!$B$6:$B$10,MATCH(INDEX('FCS TIERS'!$G$6:$G$205,MATCH($H10,'FCS TIERS'!$F$6:$F$205,0)),'FCS TIERS'!$A$6:$A$10,0)))),"")),"")))</f>
        <v/>
      </c>
      <c r="T10">
        <f>IF(OR($A10="",$L10&lt;&gt;1,NOT(ISNUMBER($J10)),NOT(ISNUMBER($K10))),"",$K10-$J10)</f>
        <v/>
      </c>
      <c r="U10">
        <f>IF(OR($T10="",NOT(ISNUMBER($R10))),"",MAX(-SETTINGS!$B$14,MIN(SETTINGS!$B$14,$T10-IF($E10=1,0,SETTINGS!$B$6)))-$R10)</f>
        <v/>
      </c>
      <c r="V10">
        <f>IF(OR($T10="",NOT(ISNUMBER($S10))),"",MAX(-SETTINGS!$B$14,MIN(SETTINGS!$B$14,-$T10+IF($E10=1,0,SETTINGS!$B$6)))-$S10)</f>
        <v/>
      </c>
      <c r="W10">
        <f>IF($A10="","",IF(OR(SETTINGS!$B$4="",NOT(ISNUMBER($C10))),1,SETTINGS!$B$20^MAX(0,SETTINGS!$B$4-$C10)))</f>
        <v/>
      </c>
      <c r="X10">
        <f>IF(OR($A10="",NOT(ISNUMBER($U10))),0,$U10*$W10)</f>
        <v/>
      </c>
      <c r="Y10">
        <f>IF(OR($A10="",NOT(ISNUMBER($U10))),0,$W10)</f>
        <v/>
      </c>
      <c r="Z10">
        <f>IF(OR($A10="",NOT(ISNUMBER($V10))),0,$V10*$W10)</f>
        <v/>
      </c>
      <c r="AA10">
        <f>IF(OR($A10="",NOT(ISNUMBER($V10))),0,$W10)</f>
        <v/>
      </c>
      <c r="AB10">
        <f>IF($A10="",0,$L10*IF($O10="FBS",1,0))</f>
        <v/>
      </c>
      <c r="AC10">
        <f>IF($A10="",0,$L10*IF($Q10="FBS",1,0))</f>
        <v/>
      </c>
      <c r="AD10">
        <f>IF($A10="",0,$L10*IF($O10="FBS",1,0))</f>
        <v/>
      </c>
      <c r="AE10">
        <f>IF($A10="",0,$L10*IF($Q10="FBS",1,0))</f>
        <v/>
      </c>
      <c r="AF10">
        <f>IF($A10="","",IF($N10&lt;&gt;"",$N10,$F10))</f>
        <v/>
      </c>
      <c r="AG10">
        <f>IF($A10="","",IF($P10&lt;&gt;"",$P10,$H10))</f>
        <v/>
      </c>
    </row>
    <row r="11">
      <c r="A11">
        <f>IF('IMPORT SCHEDULE'!A11="","",'IMPORT SCHEDULE'!A11)</f>
        <v/>
      </c>
      <c r="B11">
        <f>IF($A11="","",'IMPORT SCHEDULE'!B11)</f>
        <v/>
      </c>
      <c r="C11">
        <f>IF($A11="","",'IMPORT SCHEDULE'!C11)</f>
        <v/>
      </c>
      <c r="D11">
        <f>IF($A11="","",'IMPORT SCHEDULE'!D11)</f>
        <v/>
      </c>
      <c r="E11">
        <f>IF($A11="","",IF(OR('IMPORT SCHEDULE'!E11=TRUE(),'IMPORT SCHEDULE'!E11="TRUE",'IMPORT SCHEDULE'!E11="true",'IMPORT SCHEDULE'!E11=1),1,0))</f>
        <v/>
      </c>
      <c r="F11">
        <f>IF($A11="","",'IMPORT SCHEDULE'!F11)</f>
        <v/>
      </c>
      <c r="G11">
        <f>IF($A11="","",'IMPORT SCHEDULE'!G11)</f>
        <v/>
      </c>
      <c r="H11">
        <f>IF($A11="","",'IMPORT SCHEDULE'!H11)</f>
        <v/>
      </c>
      <c r="I11">
        <f>IF($A11="","",'IMPORT SCHEDULE'!I11)</f>
        <v/>
      </c>
      <c r="J11">
        <f>IF($A11="","",IF('IMPORT SCHEDULE'!J11="","",'IMPORT SCHEDULE'!J11))</f>
        <v/>
      </c>
      <c r="K11">
        <f>IF($A11="","",IF('IMPORT SCHEDULE'!K11="","",'IMPORT SCHEDULE'!K11))</f>
        <v/>
      </c>
      <c r="L11">
        <f>IF($A11="","",IF(OR('IMPORT SCHEDULE'!L11=TRUE(),'IMPORT SCHEDULE'!L11="TRUE",'IMPORT SCHEDULE'!L11="true",'IMPORT SCHEDULE'!L11=1,AND(ISNUMBER($J11),ISNUMBER($K11))),1,0))</f>
        <v/>
      </c>
      <c r="M11">
        <f>IF($A11="","",COUNTIF($A$6:$A$1005,$A11))</f>
        <v/>
      </c>
      <c r="N11">
        <f>IF($F11="","",IF(ISNA(MATCH($F11,'TEAM MAP'!$K$6:$K$605,0)),"",INDEX('TEAM MAP'!$L$6:$L$605,MATCH($F11,'TEAM MAP'!$K$6:$K$605,0))))</f>
        <v/>
      </c>
      <c r="O11">
        <f>IF($F11="","",IF($N11&lt;&gt;"","FBS",IF(ISNA(MATCH($G11,'TEAM MAP'!$N$6:$N$40,0)),"FCS","BLOCK")))</f>
        <v/>
      </c>
      <c r="P11">
        <f>IF($H11="","",IF(ISNA(MATCH($H11,'TEAM MAP'!$K$6:$K$605,0)),"",INDEX('TEAM MAP'!$L$6:$L$605,MATCH($H11,'TEAM MAP'!$K$6:$K$605,0))))</f>
        <v/>
      </c>
      <c r="Q11">
        <f>IF($H11="","",IF($P11&lt;&gt;"","FBS",IF(ISNA(MATCH($I11,'TEAM MAP'!$N$6:$N$40,0)),"FCS","BLOCK")))</f>
        <v/>
      </c>
      <c r="R11">
        <f>IF($A11="","",IF($O11="FBS",IF(ISNA(MATCH($N11,PRESEASON!$A$6:$A$143,0)),"",IF(INDEX(PRESEASON!$Z$6:$Z$143,MATCH($N11,PRESEASON!$A$6:$A$143,0))="","",INDEX(PRESEASON!$Z$6:$Z$143,MATCH($N11,PRESEASON!$A$6:$A$143,0)))),IF($O11="FCS",IF(COUNTIF('FCS TIERS'!$J$6:$J$105,$F11)&gt;0,IF(INDEX('FCS TIERS'!$K$6:$K$105,MATCH($F11,'FCS TIERS'!$J$6:$J$105,0))="","",INDEX('FCS TIERS'!$K$6:$K$105,MATCH($F11,'FCS TIERS'!$J$6:$J$105,0))),IF(COUNTIF('FCS TIERS'!$F$6:$F$205,$F11)&gt;0,IF(ISNA(MATCH(INDEX('FCS TIERS'!$G$6:$G$205,MATCH($F11,'FCS TIERS'!$F$6:$F$205,0)),'FCS TIERS'!$A$6:$A$10,0)),"",IF(INDEX('FCS TIERS'!$B$6:$B$10,MATCH(INDEX('FCS TIERS'!$G$6:$G$205,MATCH($F11,'FCS TIERS'!$F$6:$F$205,0)),'FCS TIERS'!$A$6:$A$10,0))="","",INDEX('FCS TIERS'!$B$6:$B$10,MATCH(INDEX('FCS TIERS'!$G$6:$G$205,MATCH($F11,'FCS TIERS'!$F$6:$F$205,0)),'FCS TIERS'!$A$6:$A$10,0)))),"")),"")))</f>
        <v/>
      </c>
      <c r="S11">
        <f>IF($A11="","",IF($Q11="FBS",IF(ISNA(MATCH($P11,PRESEASON!$A$6:$A$143,0)),"",IF(INDEX(PRESEASON!$Z$6:$Z$143,MATCH($P11,PRESEASON!$A$6:$A$143,0))="","",INDEX(PRESEASON!$Z$6:$Z$143,MATCH($P11,PRESEASON!$A$6:$A$143,0)))),IF($Q11="FCS",IF(COUNTIF('FCS TIERS'!$J$6:$J$105,$H11)&gt;0,IF(INDEX('FCS TIERS'!$K$6:$K$105,MATCH($H11,'FCS TIERS'!$J$6:$J$105,0))="","",INDEX('FCS TIERS'!$K$6:$K$105,MATCH($H11,'FCS TIERS'!$J$6:$J$105,0))),IF(COUNTIF('FCS TIERS'!$F$6:$F$205,$H11)&gt;0,IF(ISNA(MATCH(INDEX('FCS TIERS'!$G$6:$G$205,MATCH($H11,'FCS TIERS'!$F$6:$F$205,0)),'FCS TIERS'!$A$6:$A$10,0)),"",IF(INDEX('FCS TIERS'!$B$6:$B$10,MATCH(INDEX('FCS TIERS'!$G$6:$G$205,MATCH($H11,'FCS TIERS'!$F$6:$F$205,0)),'FCS TIERS'!$A$6:$A$10,0))="","",INDEX('FCS TIERS'!$B$6:$B$10,MATCH(INDEX('FCS TIERS'!$G$6:$G$205,MATCH($H11,'FCS TIERS'!$F$6:$F$205,0)),'FCS TIERS'!$A$6:$A$10,0)))),"")),"")))</f>
        <v/>
      </c>
      <c r="T11">
        <f>IF(OR($A11="",$L11&lt;&gt;1,NOT(ISNUMBER($J11)),NOT(ISNUMBER($K11))),"",$K11-$J11)</f>
        <v/>
      </c>
      <c r="U11">
        <f>IF(OR($T11="",NOT(ISNUMBER($R11))),"",MAX(-SETTINGS!$B$14,MIN(SETTINGS!$B$14,$T11-IF($E11=1,0,SETTINGS!$B$6)))-$R11)</f>
        <v/>
      </c>
      <c r="V11">
        <f>IF(OR($T11="",NOT(ISNUMBER($S11))),"",MAX(-SETTINGS!$B$14,MIN(SETTINGS!$B$14,-$T11+IF($E11=1,0,SETTINGS!$B$6)))-$S11)</f>
        <v/>
      </c>
      <c r="W11">
        <f>IF($A11="","",IF(OR(SETTINGS!$B$4="",NOT(ISNUMBER($C11))),1,SETTINGS!$B$20^MAX(0,SETTINGS!$B$4-$C11)))</f>
        <v/>
      </c>
      <c r="X11">
        <f>IF(OR($A11="",NOT(ISNUMBER($U11))),0,$U11*$W11)</f>
        <v/>
      </c>
      <c r="Y11">
        <f>IF(OR($A11="",NOT(ISNUMBER($U11))),0,$W11)</f>
        <v/>
      </c>
      <c r="Z11">
        <f>IF(OR($A11="",NOT(ISNUMBER($V11))),0,$V11*$W11)</f>
        <v/>
      </c>
      <c r="AA11">
        <f>IF(OR($A11="",NOT(ISNUMBER($V11))),0,$W11)</f>
        <v/>
      </c>
      <c r="AB11">
        <f>IF($A11="",0,$L11*IF($O11="FBS",1,0))</f>
        <v/>
      </c>
      <c r="AC11">
        <f>IF($A11="",0,$L11*IF($Q11="FBS",1,0))</f>
        <v/>
      </c>
      <c r="AD11">
        <f>IF($A11="",0,$L11*IF($O11="FBS",1,0))</f>
        <v/>
      </c>
      <c r="AE11">
        <f>IF($A11="",0,$L11*IF($Q11="FBS",1,0))</f>
        <v/>
      </c>
      <c r="AF11">
        <f>IF($A11="","",IF($N11&lt;&gt;"",$N11,$F11))</f>
        <v/>
      </c>
      <c r="AG11">
        <f>IF($A11="","",IF($P11&lt;&gt;"",$P11,$H11))</f>
        <v/>
      </c>
    </row>
    <row r="14">
      <c r="A14">
        <f>IF('IMPORT SCHEDULE'!A14="","",'IMPORT SCHEDULE'!A14)</f>
        <v/>
      </c>
      <c r="B14">
        <f>IF($A14="","",'IMPORT SCHEDULE'!B14)</f>
        <v/>
      </c>
      <c r="C14">
        <f>IF($A14="","",'IMPORT SCHEDULE'!C14)</f>
        <v/>
      </c>
      <c r="D14">
        <f>IF($A14="","",'IMPORT SCHEDULE'!D14)</f>
        <v/>
      </c>
      <c r="E14">
        <f>IF($A14="","",IF(OR('IMPORT SCHEDULE'!E14=TRUE(),'IMPORT SCHEDULE'!E14="TRUE",'IMPORT SCHEDULE'!E14="true",'IMPORT SCHEDULE'!E14=1),1,0))</f>
        <v/>
      </c>
      <c r="F14">
        <f>IF($A14="","",'IMPORT SCHEDULE'!F14)</f>
        <v/>
      </c>
      <c r="G14">
        <f>IF($A14="","",'IMPORT SCHEDULE'!G14)</f>
        <v/>
      </c>
      <c r="H14">
        <f>IF($A14="","",'IMPORT SCHEDULE'!H14)</f>
        <v/>
      </c>
      <c r="I14">
        <f>IF($A14="","",'IMPORT SCHEDULE'!I14)</f>
        <v/>
      </c>
      <c r="J14">
        <f>IF($A14="","",IF('IMPORT SCHEDULE'!J14="","",'IMPORT SCHEDULE'!J14))</f>
        <v/>
      </c>
      <c r="K14">
        <f>IF($A14="","",IF('IMPORT SCHEDULE'!K14="","",'IMPORT SCHEDULE'!K14))</f>
        <v/>
      </c>
      <c r="L14">
        <f>IF($A14="","",IF(OR('IMPORT SCHEDULE'!L14=TRUE(),'IMPORT SCHEDULE'!L14="TRUE",'IMPORT SCHEDULE'!L14="true",'IMPORT SCHEDULE'!L14=1,AND(ISNUMBER($J14),ISNUMBER($K14))),1,0))</f>
        <v/>
      </c>
      <c r="M14">
        <f>IF($A14="","",COUNTIF($A$6:$A$1005,$A14))</f>
        <v/>
      </c>
      <c r="N14">
        <f>IF($F14="","",IF(ISNA(MATCH($F14,'TEAM MAP'!$K$6:$K$605,0)),"",INDEX('TEAM MAP'!$L$6:$L$605,MATCH($F14,'TEAM MAP'!$K$6:$K$605,0))))</f>
        <v/>
      </c>
      <c r="O14">
        <f>IF($F14="","",IF($N14&lt;&gt;"","FBS",IF(ISNA(MATCH($G14,'TEAM MAP'!$N$6:$N$40,0)),"FCS","BLOCK")))</f>
        <v/>
      </c>
      <c r="P14">
        <f>IF($H14="","",IF(ISNA(MATCH($H14,'TEAM MAP'!$K$6:$K$605,0)),"",INDEX('TEAM MAP'!$L$6:$L$605,MATCH($H14,'TEAM MAP'!$K$6:$K$605,0))))</f>
        <v/>
      </c>
      <c r="Q14">
        <f>IF($H14="","",IF($P14&lt;&gt;"","FBS",IF(ISNA(MATCH($I14,'TEAM MAP'!$N$6:$N$40,0)),"FCS","BLOCK")))</f>
        <v/>
      </c>
      <c r="R14">
        <f>IF($A14="","",IF($O14="FBS",IF(ISNA(MATCH($N14,PRESEASON!$A$6:$A$143,0)),"",IF(INDEX(PRESEASON!$Z$6:$Z$143,MATCH($N14,PRESEASON!$A$6:$A$143,0))="","",INDEX(PRESEASON!$Z$6:$Z$143,MATCH($N14,PRESEASON!$A$6:$A$143,0)))),IF($O14="FCS",IF(COUNTIF('FCS TIERS'!$J$6:$J$105,$F14)&gt;0,IF(INDEX('FCS TIERS'!$K$6:$K$105,MATCH($F14,'FCS TIERS'!$J$6:$J$105,0))="","",INDEX('FCS TIERS'!$K$6:$K$105,MATCH($F14,'FCS TIERS'!$J$6:$J$105,0))),IF(COUNTIF('FCS TIERS'!$F$6:$F$205,$F14)&gt;0,IF(ISNA(MATCH(INDEX('FCS TIERS'!$G$6:$G$205,MATCH($F14,'FCS TIERS'!$F$6:$F$205,0)),'FCS TIERS'!$A$6:$A$10,0)),"",IF(INDEX('FCS TIERS'!$B$6:$B$10,MATCH(INDEX('FCS TIERS'!$G$6:$G$205,MATCH($F14,'FCS TIERS'!$F$6:$F$205,0)),'FCS TIERS'!$A$6:$A$10,0))="","",INDEX('FCS TIERS'!$B$6:$B$10,MATCH(INDEX('FCS TIERS'!$G$6:$G$205,MATCH($F14,'FCS TIERS'!$F$6:$F$205,0)),'FCS TIERS'!$A$6:$A$10,0)))),"")),"")))</f>
        <v/>
      </c>
      <c r="S14">
        <f>IF($A14="","",IF($Q14="FBS",IF(ISNA(MATCH($P14,PRESEASON!$A$6:$A$143,0)),"",IF(INDEX(PRESEASON!$Z$6:$Z$143,MATCH($P14,PRESEASON!$A$6:$A$143,0))="","",INDEX(PRESEASON!$Z$6:$Z$143,MATCH($P14,PRESEASON!$A$6:$A$143,0)))),IF($Q14="FCS",IF(COUNTIF('FCS TIERS'!$J$6:$J$105,$H14)&gt;0,IF(INDEX('FCS TIERS'!$K$6:$K$105,MATCH($H14,'FCS TIERS'!$J$6:$J$105,0))="","",INDEX('FCS TIERS'!$K$6:$K$105,MATCH($H14,'FCS TIERS'!$J$6:$J$105,0))),IF(COUNTIF('FCS TIERS'!$F$6:$F$205,$H14)&gt;0,IF(ISNA(MATCH(INDEX('FCS TIERS'!$G$6:$G$205,MATCH($H14,'FCS TIERS'!$F$6:$F$205,0)),'FCS TIERS'!$A$6:$A$10,0)),"",IF(INDEX('FCS TIERS'!$B$6:$B$10,MATCH(INDEX('FCS TIERS'!$G$6:$G$205,MATCH($H14,'FCS TIERS'!$F$6:$F$205,0)),'FCS TIERS'!$A$6:$A$10,0))="","",INDEX('FCS TIERS'!$B$6:$B$10,MATCH(INDEX('FCS TIERS'!$G$6:$G$205,MATCH($H14,'FCS TIERS'!$F$6:$F$205,0)),'FCS TIERS'!$A$6:$A$10,0)))),"")),"")))</f>
        <v/>
      </c>
      <c r="T14">
        <f>IF(OR($A14="",$L14&lt;&gt;1,NOT(ISNUMBER($J14)),NOT(ISNUMBER($K14))),"",$K14-$J14)</f>
        <v/>
      </c>
      <c r="U14">
        <f>IF(OR($T14="",NOT(ISNUMBER($R14))),"",MAX(-SETTINGS!$B$14,MIN(SETTINGS!$B$14,$T14-IF($E14=1,0,SETTINGS!$B$6)))-$R14)</f>
        <v/>
      </c>
      <c r="V14">
        <f>IF(OR($T14="",NOT(ISNUMBER($S14))),"",MAX(-SETTINGS!$B$14,MIN(SETTINGS!$B$14,-$T14+IF($E14=1,0,SETTINGS!$B$6)))-$S14)</f>
        <v/>
      </c>
      <c r="W14">
        <f>IF($A14="","",IF(OR(SETTINGS!$B$4="",NOT(ISNUMBER($C14))),1,SETTINGS!$B$20^MAX(0,SETTINGS!$B$4-$C14)))</f>
        <v/>
      </c>
      <c r="X14">
        <f>IF(OR($A14="",NOT(ISNUMBER($U14))),0,$U14*$W14)</f>
        <v/>
      </c>
      <c r="Y14">
        <f>IF(OR($A14="",NOT(ISNUMBER($U14))),0,$W14)</f>
        <v/>
      </c>
      <c r="Z14">
        <f>IF(OR($A14="",NOT(ISNUMBER($V14))),0,$V14*$W14)</f>
        <v/>
      </c>
      <c r="AA14">
        <f>IF(OR($A14="",NOT(ISNUMBER($V14))),0,$W14)</f>
        <v/>
      </c>
      <c r="AB14">
        <f>IF($A14="",0,$L14*IF($O14="FBS",1,0))</f>
        <v/>
      </c>
      <c r="AC14">
        <f>IF($A14="",0,$L14*IF($Q14="FBS",1,0))</f>
        <v/>
      </c>
      <c r="AD14">
        <f>IF($A14="",0,$L14*IF($O14="FBS",1,0))</f>
        <v/>
      </c>
      <c r="AE14">
        <f>IF($A14="",0,$L14*IF($Q14="FBS",1,0))</f>
        <v/>
      </c>
      <c r="AF14">
        <f>IF($A14="","",IF($N14&lt;&gt;"",$N14,$F14))</f>
        <v/>
      </c>
      <c r="AG14">
        <f>IF($A14="","",IF($P14&lt;&gt;"",$P14,$H14))</f>
        <v/>
      </c>
    </row>
    <row r="15">
      <c r="A15">
        <f>IF('IMPORT SCHEDULE'!A15="","",'IMPORT SCHEDULE'!A15)</f>
        <v/>
      </c>
      <c r="B15">
        <f>IF($A15="","",'IMPORT SCHEDULE'!B15)</f>
        <v/>
      </c>
      <c r="C15">
        <f>IF($A15="","",'IMPORT SCHEDULE'!C15)</f>
        <v/>
      </c>
      <c r="D15">
        <f>IF($A15="","",'IMPORT SCHEDULE'!D15)</f>
        <v/>
      </c>
      <c r="E15">
        <f>IF($A15="","",IF(OR('IMPORT SCHEDULE'!E15=TRUE(),'IMPORT SCHEDULE'!E15="TRUE",'IMPORT SCHEDULE'!E15="true",'IMPORT SCHEDULE'!E15=1),1,0))</f>
        <v/>
      </c>
      <c r="F15">
        <f>IF($A15="","",'IMPORT SCHEDULE'!F15)</f>
        <v/>
      </c>
      <c r="G15">
        <f>IF($A15="","",'IMPORT SCHEDULE'!G15)</f>
        <v/>
      </c>
      <c r="H15">
        <f>IF($A15="","",'IMPORT SCHEDULE'!H15)</f>
        <v/>
      </c>
      <c r="I15">
        <f>IF($A15="","",'IMPORT SCHEDULE'!I15)</f>
        <v/>
      </c>
      <c r="J15">
        <f>IF($A15="","",IF('IMPORT SCHEDULE'!J15="","",'IMPORT SCHEDULE'!J15))</f>
        <v/>
      </c>
      <c r="K15">
        <f>IF($A15="","",IF('IMPORT SCHEDULE'!K15="","",'IMPORT SCHEDULE'!K15))</f>
        <v/>
      </c>
      <c r="L15">
        <f>IF($A15="","",IF(OR('IMPORT SCHEDULE'!L15=TRUE(),'IMPORT SCHEDULE'!L15="TRUE",'IMPORT SCHEDULE'!L15="true",'IMPORT SCHEDULE'!L15=1,AND(ISNUMBER($J15),ISNUMBER($K15))),1,0))</f>
        <v/>
      </c>
      <c r="M15">
        <f>IF($A15="","",COUNTIF($A$6:$A$1005,$A15))</f>
        <v/>
      </c>
      <c r="N15">
        <f>IF($F15="","",IF(ISNA(MATCH($F15,'TEAM MAP'!$K$6:$K$605,0)),"",INDEX('TEAM MAP'!$L$6:$L$605,MATCH($F15,'TEAM MAP'!$K$6:$K$605,0))))</f>
        <v/>
      </c>
      <c r="O15">
        <f>IF($F15="","",IF($N15&lt;&gt;"","FBS",IF(ISNA(MATCH($G15,'TEAM MAP'!$N$6:$N$40,0)),"FCS","BLOCK")))</f>
        <v/>
      </c>
      <c r="P15">
        <f>IF($H15="","",IF(ISNA(MATCH($H15,'TEAM MAP'!$K$6:$K$605,0)),"",INDEX('TEAM MAP'!$L$6:$L$605,MATCH($H15,'TEAM MAP'!$K$6:$K$605,0))))</f>
        <v/>
      </c>
      <c r="Q15">
        <f>IF($H15="","",IF($P15&lt;&gt;"","FBS",IF(ISNA(MATCH($I15,'TEAM MAP'!$N$6:$N$40,0)),"FCS","BLOCK")))</f>
        <v/>
      </c>
      <c r="R15">
        <f>IF($A15="","",IF($O15="FBS",IF(ISNA(MATCH($N15,PRESEASON!$A$6:$A$143,0)),"",IF(INDEX(PRESEASON!$Z$6:$Z$143,MATCH($N15,PRESEASON!$A$6:$A$143,0))="","",INDEX(PRESEASON!$Z$6:$Z$143,MATCH($N15,PRESEASON!$A$6:$A$143,0)))),IF($O15="FCS",IF(COUNTIF('FCS TIERS'!$J$6:$J$105,$F15)&gt;0,IF(INDEX('FCS TIERS'!$K$6:$K$105,MATCH($F15,'FCS TIERS'!$J$6:$J$105,0))="","",INDEX('FCS TIERS'!$K$6:$K$105,MATCH($F15,'FCS TIERS'!$J$6:$J$105,0))),IF(COUNTIF('FCS TIERS'!$F$6:$F$205,$F15)&gt;0,IF(ISNA(MATCH(INDEX('FCS TIERS'!$G$6:$G$205,MATCH($F15,'FCS TIERS'!$F$6:$F$205,0)),'FCS TIERS'!$A$6:$A$10,0)),"",IF(INDEX('FCS TIERS'!$B$6:$B$10,MATCH(INDEX('FCS TIERS'!$G$6:$G$205,MATCH($F15,'FCS TIERS'!$F$6:$F$205,0)),'FCS TIERS'!$A$6:$A$10,0))="","",INDEX('FCS TIERS'!$B$6:$B$10,MATCH(INDEX('FCS TIERS'!$G$6:$G$205,MATCH($F15,'FCS TIERS'!$F$6:$F$205,0)),'FCS TIERS'!$A$6:$A$10,0)))),"")),"")))</f>
        <v/>
      </c>
      <c r="S15">
        <f>IF($A15="","",IF($Q15="FBS",IF(ISNA(MATCH($P15,PRESEASON!$A$6:$A$143,0)),"",IF(INDEX(PRESEASON!$Z$6:$Z$143,MATCH($P15,PRESEASON!$A$6:$A$143,0))="","",INDEX(PRESEASON!$Z$6:$Z$143,MATCH($P15,PRESEASON!$A$6:$A$143,0)))),IF($Q15="FCS",IF(COUNTIF('FCS TIERS'!$J$6:$J$105,$H15)&gt;0,IF(INDEX('FCS TIERS'!$K$6:$K$105,MATCH($H15,'FCS TIERS'!$J$6:$J$105,0))="","",INDEX('FCS TIERS'!$K$6:$K$105,MATCH($H15,'FCS TIERS'!$J$6:$J$105,0))),IF(COUNTIF('FCS TIERS'!$F$6:$F$205,$H15)&gt;0,IF(ISNA(MATCH(INDEX('FCS TIERS'!$G$6:$G$205,MATCH($H15,'FCS TIERS'!$F$6:$F$205,0)),'FCS TIERS'!$A$6:$A$10,0)),"",IF(INDEX('FCS TIERS'!$B$6:$B$10,MATCH(INDEX('FCS TIERS'!$G$6:$G$205,MATCH($H15,'FCS TIERS'!$F$6:$F$205,0)),'FCS TIERS'!$A$6:$A$10,0))="","",INDEX('FCS TIERS'!$B$6:$B$10,MATCH(INDEX('FCS TIERS'!$G$6:$G$205,MATCH($H15,'FCS TIERS'!$F$6:$F$205,0)),'FCS TIERS'!$A$6:$A$10,0)))),"")),"")))</f>
        <v/>
      </c>
      <c r="T15">
        <f>IF(OR($A15="",$L15&lt;&gt;1,NOT(ISNUMBER($J15)),NOT(ISNUMBER($K15))),"",$K15-$J15)</f>
        <v/>
      </c>
      <c r="U15">
        <f>IF(OR($T15="",NOT(ISNUMBER($R15))),"",MAX(-SETTINGS!$B$14,MIN(SETTINGS!$B$14,$T15-IF($E15=1,0,SETTINGS!$B$6)))-$R15)</f>
        <v/>
      </c>
      <c r="V15">
        <f>IF(OR($T15="",NOT(ISNUMBER($S15))),"",MAX(-SETTINGS!$B$14,MIN(SETTINGS!$B$14,-$T15+IF($E15=1,0,SETTINGS!$B$6)))-$S15)</f>
        <v/>
      </c>
      <c r="W15">
        <f>IF($A15="","",IF(OR(SETTINGS!$B$4="",NOT(ISNUMBER($C15))),1,SETTINGS!$B$20^MAX(0,SETTINGS!$B$4-$C15)))</f>
        <v/>
      </c>
      <c r="X15">
        <f>IF(OR($A15="",NOT(ISNUMBER($U15))),0,$U15*$W15)</f>
        <v/>
      </c>
      <c r="Y15">
        <f>IF(OR($A15="",NOT(ISNUMBER($U15))),0,$W15)</f>
        <v/>
      </c>
      <c r="Z15">
        <f>IF(OR($A15="",NOT(ISNUMBER($V15))),0,$V15*$W15)</f>
        <v/>
      </c>
      <c r="AA15">
        <f>IF(OR($A15="",NOT(ISNUMBER($V15))),0,$W15)</f>
        <v/>
      </c>
      <c r="AB15">
        <f>IF($A15="",0,$L15*IF($O15="FBS",1,0))</f>
        <v/>
      </c>
      <c r="AC15">
        <f>IF($A15="",0,$L15*IF($Q15="FBS",1,0))</f>
        <v/>
      </c>
      <c r="AD15">
        <f>IF($A15="",0,$L15*IF($O15="FBS",1,0))</f>
        <v/>
      </c>
      <c r="AE15">
        <f>IF($A15="",0,$L15*IF($Q15="FBS",1,0))</f>
        <v/>
      </c>
      <c r="AF15">
        <f>IF($A15="","",IF($N15&lt;&gt;"",$N15,$F15))</f>
        <v/>
      </c>
      <c r="AG15">
        <f>IF($A15="","",IF($P15&lt;&gt;"",$P15,$H15))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6:AK15"/>
  <sheetViews>
    <sheetView workbookViewId="0">
      <selection activeCell="A1" sqref="A1"/>
    </sheetView>
  </sheetViews>
  <sheetFormatPr baseColWidth="8" defaultRowHeight="15"/>
  <sheetData>
    <row r="6">
      <c r="A6">
        <f>IF(CLEAN!$A6="","",CLEAN!$A6)</f>
        <v/>
      </c>
      <c r="B6">
        <f>IF($A6="","",CLEAN!$C6)</f>
        <v/>
      </c>
      <c r="C6">
        <f>IF($A6="","",CLEAN!$D6)</f>
        <v/>
      </c>
      <c r="D6">
        <f>IF($A6="","",CLEAN!$AF6)</f>
        <v/>
      </c>
      <c r="E6">
        <f>IF($A6="","",CLEAN!$AG6)</f>
        <v/>
      </c>
      <c r="F6">
        <f>IF($A6="","",CLEAN!$E6)</f>
        <v/>
      </c>
      <c r="G6">
        <f>IF($A6="","",CLEAN!$O6)</f>
        <v/>
      </c>
      <c r="H6">
        <f>IF($A6="","",CLEAN!$Q6)</f>
        <v/>
      </c>
      <c r="I6">
        <f>IF($A6="","",IF($G6="FCS",IF(CLEAN!$R6="","",CLEAN!$R6),IF($G6="FBS",IF(ISNA(MATCH(CLEAN!$N6,'TEAM RATINGS'!$A$6:$A$143,0)),"",IF(INDEX('TEAM RATINGS'!$O$6:$O$143,MATCH(CLEAN!$N6,'TEAM RATINGS'!$A$6:$A$143,0))="","",INDEX('TEAM RATINGS'!$O$6:$O$143,MATCH(CLEAN!$N6,'TEAM RATINGS'!$A$6:$A$143,0)))),"")))</f>
        <v/>
      </c>
      <c r="J6">
        <f>IF($A6="","",IF($H6="FCS",IF(CLEAN!$S6="","",CLEAN!$S6),IF($H6="FBS",IF(ISNA(MATCH(CLEAN!$P6,'TEAM RATINGS'!$A$6:$A$143,0)),"",IF(INDEX('TEAM RATINGS'!$O$6:$O$143,MATCH(CLEAN!$P6,'TEAM RATINGS'!$A$6:$A$143,0))="","",INDEX('TEAM RATINGS'!$O$6:$O$143,MATCH(CLEAN!$P6,'TEAM RATINGS'!$A$6:$A$143,0)))),"")))</f>
        <v/>
      </c>
      <c r="K6">
        <f>IF(OR($I6="",$J6=""),"",$J6-$I6)</f>
        <v/>
      </c>
      <c r="L6">
        <f>IF($A6="","",IF($F6=1,SETTINGS!$B$7,IF($H6&lt;&gt;"FBS",SETTINGS!$B$6,IF(ISNA(MATCH(CLEAN!$P6,'TEAM RATINGS'!$A$6:$A$143,0)),SETTINGS!$B$6,INDEX('TEAM RATINGS'!$S$6:$S$143,MATCH(CLEAN!$P6,'TEAM RATINGS'!$A$6:$A$143,0))))))</f>
        <v/>
      </c>
      <c r="M6">
        <f>IF($A6="","",IF($H6&lt;&gt;"FBS",0,IF(ISNA(MATCH(CLEAN!$P6,'QB VALUES'!$A$6:$A$143,0)),0,IF(INDEX('QB VALUES'!$G$6:$G$143,MATCH(CLEAN!$P6,'QB VALUES'!$A$6:$A$143,0))="",0,INDEX('QB VALUES'!$G$6:$G$143,MATCH(CLEAN!$P6,'QB VALUES'!$A$6:$A$143,0)))))-IF($G6&lt;&gt;"FBS",0,IF(ISNA(MATCH(CLEAN!$N6,'QB VALUES'!$A$6:$A$143,0)),0,IF(INDEX('QB VALUES'!$G$6:$G$143,MATCH(CLEAN!$N6,'QB VALUES'!$A$6:$A$143,0))="",0,INDEX('QB VALUES'!$G$6:$G$143,MATCH(CLEAN!$N6,'QB VALUES'!$A$6:$A$143,0))))))</f>
        <v/>
      </c>
      <c r="N6">
        <f>IF($A6="","",SUMIFS(ADJUSTMENTS!$C$6:$C$255,ADJUSTMENTS!$A$6:$A$255,"TRAVEL/REST",ADJUSTMENTS!$B$6:$B$255,$A6,ADJUSTMENTS!$J$6:$J$255,1))</f>
        <v/>
      </c>
      <c r="O6">
        <f>IF($A6="","",SUMIFS(ADJUSTMENTS!$C$6:$C$255,ADJUSTMENTS!$A$6:$A$255,"GAME",ADJUSTMENTS!$B$6:$B$255,$A6,ADJUSTMENTS!$J$6:$J$255,1)+SUMIFS(ADJUSTMENTS!$C$6:$C$255,ADJUSTMENTS!$A$6:$A$255,"INJURY",ADJUSTMENTS!$B$6:$B$255,$A6,ADJUSTMENTS!$J$6:$J$255,1)+SUMIFS(ADJUSTMENTS!$C$6:$C$255,ADJUSTMENTS!$A$6:$A$255,"WEATHER",ADJUSTMENTS!$B$6:$B$255,$A6,ADJUSTMENTS!$J$6:$J$255,1)+SUMIFS(ADJUSTMENTS!$C$6:$C$255,ADJUSTMENTS!$A$6:$A$255,"QB",ADJUSTMENTS!$B$6:$B$255,$A6,ADJUSTMENTS!$J$6:$J$255,1)+IF(CLEAN!$P6="",0,SUMIFS(ADJUSTMENTS!$C$6:$C$255,ADJUSTMENTS!$A$6:$A$255,"TEAM TEMP",ADJUSTMENTS!$B$6:$B$255,CLEAN!$P6,ADJUSTMENTS!$J$6:$J$255,1))-IF(CLEAN!$N6="",0,SUMIFS(ADJUSTMENTS!$C$6:$C$255,ADJUSTMENTS!$A$6:$A$255,"TEAM TEMP",ADJUSTMENTS!$B$6:$B$255,CLEAN!$N6,ADJUSTMENTS!$J$6:$J$255,1)))</f>
        <v/>
      </c>
      <c r="P6">
        <f>IF($K6="","",$K6+$L6+$M6+$N6+$O6)</f>
        <v/>
      </c>
      <c r="Q6">
        <f>IF($A6="","",IF(COUNTIFS(ADJUSTMENTS!$A$6:$A$255,"MARGIN OVERRIDE",ADJUSTMENTS!$B$6:$B$255,$A6,ADJUSTMENTS!$J$6:$J$255,1)=1,SUMIFS(ADJUSTMENTS!$C$6:$C$255,ADJUSTMENTS!$A$6:$A$255,"MARGIN OVERRIDE",ADJUSTMENTS!$B$6:$B$255,$A6,ADJUSTMENTS!$J$6:$J$255,1),""))</f>
        <v/>
      </c>
      <c r="R6">
        <f>IF($A6="","",IF(ISNUMBER($Q6),$Q6,IF($P6="","",$P6)))</f>
        <v/>
      </c>
      <c r="S6">
        <f>IF(OR($A6="",$R6=""),"",IF($R6&gt;0,$E6&amp;" -"&amp;TEXT(ABS($R6),"0.0"),IF($R6&lt;0,$D6&amp;" -"&amp;TEXT(ABS($R6),"0.0"),"PICK")))</f>
        <v/>
      </c>
      <c r="T6">
        <f>IF($A6="","",CALC!$N6)</f>
        <v/>
      </c>
      <c r="V6">
        <f>IF(OR($R6="",$T6=""),"",$R6+$T6)</f>
        <v/>
      </c>
      <c r="W6">
        <f>IF($V6="","",IF($V6&gt;0,$E6,$D6))</f>
        <v/>
      </c>
      <c r="X6">
        <f>IF(OR($V6="",$AI6="BLOCKED",$AI6="PENDING LINE",$AI6="STALE LINE"),"",IF(ABS($V6)&lt;SETTINGS!$B$8,"",IF(ABS($V6)&lt;SETTINGS!$B$9,"LEAN",IF(OR(ABS($V6)&lt;SETTINGS!$B$10,SETTINGS!$B$11&lt;&gt;"Y",$AI6&lt;&gt;"READY",$AF6&lt;&gt;"",$AG6&lt;&gt;""),"INVESTIGATE","BET"))))</f>
        <v/>
      </c>
      <c r="Y6">
        <f>IF(OR($A6="",SETTINGS!$B$22="",SETTINGS!$B$23="",$G6&lt;&gt;"FBS",$H6&lt;&gt;"FBS",CALC!$T6="",CALC!$U6="",CALC!$V6="",CALC!$W6=""),"",SETTINGS!$B$22+(CALC!$T6+CALC!$V6-CALC!$U6-CALC!$W6)*SETTINGS!$B$23)</f>
        <v/>
      </c>
      <c r="Z6">
        <f>IF($A6="","",CALC!$O6)</f>
        <v/>
      </c>
      <c r="AA6">
        <f>IF(OR($Y6="",$Z6=""),"",$Y6-$Z6)</f>
        <v/>
      </c>
      <c r="AB6">
        <f>IF($AA6="","",IF(ABS($AA6)&lt;SETTINGS!$B$8*2,"",IF(ABS($AA6)&lt;SETTINGS!$B$9*2,"LEAN",IF(OR(SETTINGS!$B$11&lt;&gt;"Y",$AI6&lt;&gt;"READY",ABS($AA6)&lt;SETTINGS!$B$10*2,$AF6&lt;&gt;"",$AG6&lt;&gt;""),"INVESTIGATE","BET"))))</f>
        <v/>
      </c>
      <c r="AC6">
        <f>IF(OR($Y6="",$R6=""),"",($Y6+$R6)/2)</f>
        <v/>
      </c>
      <c r="AD6">
        <f>IF(OR($Y6="",$R6=""),"",($Y6-$R6)/2)</f>
        <v/>
      </c>
      <c r="AE6">
        <f>IF($A6="","",IF(OR(IF($G6&lt;&gt;"FBS",FALSE(),IF(ISNA(MATCH(CLEAN!$N6,'QB VALUES'!$A$6:$A$143,0)),TRUE(),INDEX('QB VALUES'!$M$6:$M$143,MATCH(CLEAN!$N6,'QB VALUES'!$A$6:$A$143,0))="UNCERTAIN")),IF($H6&lt;&gt;"FBS",FALSE(),IF(ISNA(MATCH(CLEAN!$P6,'QB VALUES'!$A$6:$A$143,0)),TRUE(),INDEX('QB VALUES'!$M$6:$M$143,MATCH(CLEAN!$P6,'QB VALUES'!$A$6:$A$143,0))="UNCERTAIN"))),"QB UNCERTAIN","OK"))</f>
        <v/>
      </c>
      <c r="AF6">
        <f>IF($A6="","",IF(IF($G6&lt;&gt;"FBS",0,IF(AND(INDEX('TEAM RATINGS'!$D$6:$D$143,MATCH(CLEAN!$N6,'TEAM RATINGS'!$A$6:$A$143,0))="Y",INDEX('TEAM RATINGS'!$X$6:$X$143,MATCH(CLEAN!$N6,'TEAM RATINGS'!$A$6:$A$143,0))&lt;&gt;"Y"),1,0))+IF($H6&lt;&gt;"FBS",0,IF(AND(INDEX('TEAM RATINGS'!$D$6:$D$143,MATCH(CLEAN!$P6,'TEAM RATINGS'!$A$6:$A$143,0))="Y",INDEX('TEAM RATINGS'!$X$6:$X$143,MATCH(CLEAN!$P6,'TEAM RATINGS'!$A$6:$A$143,0))&lt;&gt;"Y"),1,0))&gt;0,"TRANSITIONAL",""))</f>
        <v/>
      </c>
      <c r="AG6">
        <f>IF($A6="","",IF(OR($G6="FCS",$H6="FCS"),"FCS OPP",""))</f>
        <v/>
      </c>
      <c r="AH6">
        <f>IF($A6="","",IF(CLEAN!$M6&gt;1,"DUP GAMEID; ","")&amp;IF(OR($G6="BLOCK",$H6="BLOCK"),"TEAM NOT FOUND; ","")&amp;IF(AND($G6="FBS",$I6=""),"AWAY RATING MISSING; ","")&amp;IF(AND($H6="FBS",$J6=""),"HOME RATING MISSING; ","")&amp;IF(AND(CALC!$L6&lt;&gt;"",CALC!$M6&lt;&gt;"",CALC!$N6=""),"INVALID FAVORITE; ","")&amp;IF(CALC!$R6=1,"DUPLICATE MARKET ROW; ","")&amp;IF(COUNTIFS(ADJUSTMENTS!$A$6:$A$255,"MARGIN OVERRIDE",ADJUSTMENTS!$B$6:$B$255,$A6,ADJUSTMENTS!$J$6:$J$255,1)&gt;1,"DUPLICATE OVERRIDE; ",""))</f>
        <v/>
      </c>
      <c r="AI6">
        <f>IF($A6="","",IF($AH6&lt;&gt;"","BLOCKED",IF($AG6&lt;&gt;"","FCS — NO PLAY",IF(CALC!$S6=1,"PENDING LINE",IF(CALC!$Q6=1,"STALE LINE",IF($AE6="QB UNCERTAIN","QB UNCERTAIN",IF($AF6&lt;&gt;"","TRANSITION UNCERTAIN",IF(OR($B6="",$C6=""),"DATA INCOMPLETE","READY"))))))))</f>
        <v/>
      </c>
      <c r="AJ6">
        <f>IF(OR($AI6="",$AI6="BLOCKED",$AI6="PENDING LINE",$AI6="FCS — NO PLAY"),"",MAX(1,MIN(5,3-IF(CALC!$Z6&lt;SETTINGS!$B$24,1,0)-IF($AE6="QB UNCERTAIN",1,0)-IF($AF6&lt;&gt;"",1,0)-IF($AG6&lt;&gt;"",1,0)+IF(CALC!$Z6&gt;=6,1,0))))</f>
        <v/>
      </c>
      <c r="AK6">
        <f>IF($A6="","",IF(ISNUMBER($Q6),"MARGIN OVR; ","")&amp;IF($G6&lt;&gt;"FBS","",IF(INDEX('TEAM RATINGS'!$P$6:$P$143,MATCH(CLEAN!$N6,'TEAM RATINGS'!$A$6:$A$143,0))="OVERRIDE","AWAY RATING OVR; ",""))&amp;IF($H6&lt;&gt;"FBS","",IF(INDEX('TEAM RATINGS'!$P$6:$P$143,MATCH(CLEAN!$P6,'TEAM RATINGS'!$A$6:$A$143,0))="OVERRIDE","HOME RATING OVR; ","")))</f>
        <v/>
      </c>
    </row>
    <row r="8">
      <c r="A8">
        <f>IF(CLEAN!$A8="","",CLEAN!$A8)</f>
        <v/>
      </c>
      <c r="B8">
        <f>IF($A8="","",CLEAN!$C8)</f>
        <v/>
      </c>
      <c r="C8">
        <f>IF($A8="","",CLEAN!$D8)</f>
        <v/>
      </c>
      <c r="D8">
        <f>IF($A8="","",CLEAN!$AF8)</f>
        <v/>
      </c>
      <c r="E8">
        <f>IF($A8="","",CLEAN!$AG8)</f>
        <v/>
      </c>
      <c r="F8">
        <f>IF($A8="","",CLEAN!$E8)</f>
        <v/>
      </c>
      <c r="G8">
        <f>IF($A8="","",CLEAN!$O8)</f>
        <v/>
      </c>
      <c r="H8">
        <f>IF($A8="","",CLEAN!$Q8)</f>
        <v/>
      </c>
      <c r="I8">
        <f>IF($A8="","",IF($G8="FCS",IF(CLEAN!$R8="","",CLEAN!$R8),IF($G8="FBS",IF(ISNA(MATCH(CLEAN!$N8,'TEAM RATINGS'!$A$6:$A$143,0)),"",IF(INDEX('TEAM RATINGS'!$O$6:$O$143,MATCH(CLEAN!$N8,'TEAM RATINGS'!$A$6:$A$143,0))="","",INDEX('TEAM RATINGS'!$O$6:$O$143,MATCH(CLEAN!$N8,'TEAM RATINGS'!$A$6:$A$143,0)))),"")))</f>
        <v/>
      </c>
      <c r="J8">
        <f>IF($A8="","",IF($H8="FCS",IF(CLEAN!$S8="","",CLEAN!$S8),IF($H8="FBS",IF(ISNA(MATCH(CLEAN!$P8,'TEAM RATINGS'!$A$6:$A$143,0)),"",IF(INDEX('TEAM RATINGS'!$O$6:$O$143,MATCH(CLEAN!$P8,'TEAM RATINGS'!$A$6:$A$143,0))="","",INDEX('TEAM RATINGS'!$O$6:$O$143,MATCH(CLEAN!$P8,'TEAM RATINGS'!$A$6:$A$143,0)))),"")))</f>
        <v/>
      </c>
      <c r="K8">
        <f>IF(OR($I8="",$J8=""),"",$J8-$I8)</f>
        <v/>
      </c>
      <c r="L8">
        <f>IF($A8="","",IF($F8=1,SETTINGS!$B$7,IF($H8&lt;&gt;"FBS",SETTINGS!$B$6,IF(ISNA(MATCH(CLEAN!$P8,'TEAM RATINGS'!$A$6:$A$143,0)),SETTINGS!$B$6,INDEX('TEAM RATINGS'!$S$6:$S$143,MATCH(CLEAN!$P8,'TEAM RATINGS'!$A$6:$A$143,0))))))</f>
        <v/>
      </c>
      <c r="M8">
        <f>IF($A8="","",IF($H8&lt;&gt;"FBS",0,IF(ISNA(MATCH(CLEAN!$P8,'QB VALUES'!$A$6:$A$143,0)),0,IF(INDEX('QB VALUES'!$G$6:$G$143,MATCH(CLEAN!$P8,'QB VALUES'!$A$6:$A$143,0))="",0,INDEX('QB VALUES'!$G$6:$G$143,MATCH(CLEAN!$P8,'QB VALUES'!$A$6:$A$143,0)))))-IF($G8&lt;&gt;"FBS",0,IF(ISNA(MATCH(CLEAN!$N8,'QB VALUES'!$A$6:$A$143,0)),0,IF(INDEX('QB VALUES'!$G$6:$G$143,MATCH(CLEAN!$N8,'QB VALUES'!$A$6:$A$143,0))="",0,INDEX('QB VALUES'!$G$6:$G$143,MATCH(CLEAN!$N8,'QB VALUES'!$A$6:$A$143,0))))))</f>
        <v/>
      </c>
      <c r="N8">
        <f>IF($A8="","",SUMIFS(ADJUSTMENTS!$C$6:$C$255,ADJUSTMENTS!$A$6:$A$255,"TRAVEL/REST",ADJUSTMENTS!$B$6:$B$255,$A8,ADJUSTMENTS!$J$6:$J$255,1))</f>
        <v/>
      </c>
      <c r="O8">
        <f>IF($A8="","",SUMIFS(ADJUSTMENTS!$C$6:$C$255,ADJUSTMENTS!$A$6:$A$255,"GAME",ADJUSTMENTS!$B$6:$B$255,$A8,ADJUSTMENTS!$J$6:$J$255,1)+SUMIFS(ADJUSTMENTS!$C$6:$C$255,ADJUSTMENTS!$A$6:$A$255,"INJURY",ADJUSTMENTS!$B$6:$B$255,$A8,ADJUSTMENTS!$J$6:$J$255,1)+SUMIFS(ADJUSTMENTS!$C$6:$C$255,ADJUSTMENTS!$A$6:$A$255,"WEATHER",ADJUSTMENTS!$B$6:$B$255,$A8,ADJUSTMENTS!$J$6:$J$255,1)+SUMIFS(ADJUSTMENTS!$C$6:$C$255,ADJUSTMENTS!$A$6:$A$255,"QB",ADJUSTMENTS!$B$6:$B$255,$A8,ADJUSTMENTS!$J$6:$J$255,1)+IF(CLEAN!$P8="",0,SUMIFS(ADJUSTMENTS!$C$6:$C$255,ADJUSTMENTS!$A$6:$A$255,"TEAM TEMP",ADJUSTMENTS!$B$6:$B$255,CLEAN!$P8,ADJUSTMENTS!$J$6:$J$255,1))-IF(CLEAN!$N8="",0,SUMIFS(ADJUSTMENTS!$C$6:$C$255,ADJUSTMENTS!$A$6:$A$255,"TEAM TEMP",ADJUSTMENTS!$B$6:$B$255,CLEAN!$N8,ADJUSTMENTS!$J$6:$J$255,1)))</f>
        <v/>
      </c>
      <c r="P8">
        <f>IF($K8="","",$K8+$L8+$M8+$N8+$O8)</f>
        <v/>
      </c>
      <c r="Q8">
        <f>IF($A8="","",IF(COUNTIFS(ADJUSTMENTS!$A$6:$A$255,"MARGIN OVERRIDE",ADJUSTMENTS!$B$6:$B$255,$A8,ADJUSTMENTS!$J$6:$J$255,1)=1,SUMIFS(ADJUSTMENTS!$C$6:$C$255,ADJUSTMENTS!$A$6:$A$255,"MARGIN OVERRIDE",ADJUSTMENTS!$B$6:$B$255,$A8,ADJUSTMENTS!$J$6:$J$255,1),""))</f>
        <v/>
      </c>
      <c r="R8">
        <f>IF($A8="","",IF(ISNUMBER($Q8),$Q8,IF($P8="","",$P8)))</f>
        <v/>
      </c>
      <c r="S8">
        <f>IF(OR($A8="",$R8=""),"",IF($R8&gt;0,$E8&amp;" -"&amp;TEXT(ABS($R8),"0.0"),IF($R8&lt;0,$D8&amp;" -"&amp;TEXT(ABS($R8),"0.0"),"PICK")))</f>
        <v/>
      </c>
      <c r="T8">
        <f>IF($A8="","",CALC!$N8)</f>
        <v/>
      </c>
      <c r="V8">
        <f>IF(OR($R8="",$T8=""),"",$R8+$T8)</f>
        <v/>
      </c>
      <c r="W8">
        <f>IF($V8="","",IF($V8&gt;0,$E8,$D8))</f>
        <v/>
      </c>
      <c r="X8">
        <f>IF(OR($V8="",$AI8="BLOCKED",$AI8="PENDING LINE",$AI8="STALE LINE"),"",IF(ABS($V8)&lt;SETTINGS!$B$8,"",IF(ABS($V8)&lt;SETTINGS!$B$9,"LEAN",IF(OR(ABS($V8)&lt;SETTINGS!$B$10,SETTINGS!$B$11&lt;&gt;"Y",$AI8&lt;&gt;"READY",$AF8&lt;&gt;"",$AG8&lt;&gt;""),"INVESTIGATE","BET"))))</f>
        <v/>
      </c>
      <c r="Y8">
        <f>IF(OR($A8="",SETTINGS!$B$22="",SETTINGS!$B$23="",$G8&lt;&gt;"FBS",$H8&lt;&gt;"FBS",CALC!$T8="",CALC!$U8="",CALC!$V8="",CALC!$W8=""),"",SETTINGS!$B$22+(CALC!$T8+CALC!$V8-CALC!$U8-CALC!$W8)*SETTINGS!$B$23)</f>
        <v/>
      </c>
      <c r="Z8">
        <f>IF($A8="","",CALC!$O8)</f>
        <v/>
      </c>
      <c r="AA8">
        <f>IF(OR($Y8="",$Z8=""),"",$Y8-$Z8)</f>
        <v/>
      </c>
      <c r="AB8">
        <f>IF($AA8="","",IF(ABS($AA8)&lt;SETTINGS!$B$8*2,"",IF(ABS($AA8)&lt;SETTINGS!$B$9*2,"LEAN",IF(OR(SETTINGS!$B$11&lt;&gt;"Y",$AI8&lt;&gt;"READY",ABS($AA8)&lt;SETTINGS!$B$10*2,$AF8&lt;&gt;"",$AG8&lt;&gt;""),"INVESTIGATE","BET"))))</f>
        <v/>
      </c>
      <c r="AC8">
        <f>IF(OR($Y8="",$R8=""),"",($Y8+$R8)/2)</f>
        <v/>
      </c>
      <c r="AD8">
        <f>IF(OR($Y8="",$R8=""),"",($Y8-$R8)/2)</f>
        <v/>
      </c>
      <c r="AE8">
        <f>IF($A8="","",IF(OR(IF($G8&lt;&gt;"FBS",FALSE(),IF(ISNA(MATCH(CLEAN!$N8,'QB VALUES'!$A$6:$A$143,0)),TRUE(),INDEX('QB VALUES'!$M$6:$M$143,MATCH(CLEAN!$N8,'QB VALUES'!$A$6:$A$143,0))="UNCERTAIN")),IF($H8&lt;&gt;"FBS",FALSE(),IF(ISNA(MATCH(CLEAN!$P8,'QB VALUES'!$A$6:$A$143,0)),TRUE(),INDEX('QB VALUES'!$M$6:$M$143,MATCH(CLEAN!$P8,'QB VALUES'!$A$6:$A$143,0))="UNCERTAIN"))),"QB UNCERTAIN","OK"))</f>
        <v/>
      </c>
      <c r="AF8">
        <f>IF($A8="","",IF(IF($G8&lt;&gt;"FBS",0,IF(AND(INDEX('TEAM RATINGS'!$D$6:$D$143,MATCH(CLEAN!$N8,'TEAM RATINGS'!$A$6:$A$143,0))="Y",INDEX('TEAM RATINGS'!$X$6:$X$143,MATCH(CLEAN!$N8,'TEAM RATINGS'!$A$6:$A$143,0))&lt;&gt;"Y"),1,0))+IF($H8&lt;&gt;"FBS",0,IF(AND(INDEX('TEAM RATINGS'!$D$6:$D$143,MATCH(CLEAN!$P8,'TEAM RATINGS'!$A$6:$A$143,0))="Y",INDEX('TEAM RATINGS'!$X$6:$X$143,MATCH(CLEAN!$P8,'TEAM RATINGS'!$A$6:$A$143,0))&lt;&gt;"Y"),1,0))&gt;0,"TRANSITIONAL",""))</f>
        <v/>
      </c>
      <c r="AG8">
        <f>IF($A8="","",IF(OR($G8="FCS",$H8="FCS"),"FCS OPP",""))</f>
        <v/>
      </c>
      <c r="AH8">
        <f>IF($A8="","",IF(CLEAN!$M8&gt;1,"DUP GAMEID; ","")&amp;IF(OR($G8="BLOCK",$H8="BLOCK"),"TEAM NOT FOUND; ","")&amp;IF(AND($G8="FBS",$I8=""),"AWAY RATING MISSING; ","")&amp;IF(AND($H8="FBS",$J8=""),"HOME RATING MISSING; ","")&amp;IF(AND(CALC!$L8&lt;&gt;"",CALC!$M8&lt;&gt;"",CALC!$N8=""),"INVALID FAVORITE; ","")&amp;IF(CALC!$R8=1,"DUPLICATE MARKET ROW; ","")&amp;IF(COUNTIFS(ADJUSTMENTS!$A$6:$A$255,"MARGIN OVERRIDE",ADJUSTMENTS!$B$6:$B$255,$A8,ADJUSTMENTS!$J$6:$J$255,1)&gt;1,"DUPLICATE OVERRIDE; ",""))</f>
        <v/>
      </c>
      <c r="AI8">
        <f>IF($A8="","",IF($AH8&lt;&gt;"","BLOCKED",IF($AG8&lt;&gt;"","FCS — NO PLAY",IF(CALC!$S8=1,"PENDING LINE",IF(CALC!$Q8=1,"STALE LINE",IF($AE8="QB UNCERTAIN","QB UNCERTAIN",IF($AF8&lt;&gt;"","TRANSITION UNCERTAIN",IF(OR($B8="",$C8=""),"DATA INCOMPLETE","READY"))))))))</f>
        <v/>
      </c>
      <c r="AJ8">
        <f>IF(OR($AI8="",$AI8="BLOCKED",$AI8="PENDING LINE",$AI8="FCS — NO PLAY"),"",MAX(1,MIN(5,3-IF(CALC!$Z8&lt;SETTINGS!$B$24,1,0)-IF($AE8="QB UNCERTAIN",1,0)-IF($AF8&lt;&gt;"",1,0)-IF($AG8&lt;&gt;"",1,0)+IF(CALC!$Z8&gt;=6,1,0))))</f>
        <v/>
      </c>
      <c r="AK8">
        <f>IF($A8="","",IF(ISNUMBER($Q8),"MARGIN OVR; ","")&amp;IF($G8&lt;&gt;"FBS","",IF(INDEX('TEAM RATINGS'!$P$6:$P$143,MATCH(CLEAN!$N8,'TEAM RATINGS'!$A$6:$A$143,0))="OVERRIDE","AWAY RATING OVR; ",""))&amp;IF($H8&lt;&gt;"FBS","",IF(INDEX('TEAM RATINGS'!$P$6:$P$143,MATCH(CLEAN!$P8,'TEAM RATINGS'!$A$6:$A$143,0))="OVERRIDE","HOME RATING OVR; ","")))</f>
        <v/>
      </c>
    </row>
    <row r="9">
      <c r="A9">
        <f>IF(CLEAN!$A9="","",CLEAN!$A9)</f>
        <v/>
      </c>
      <c r="B9">
        <f>IF($A9="","",CLEAN!$C9)</f>
        <v/>
      </c>
      <c r="C9">
        <f>IF($A9="","",CLEAN!$D9)</f>
        <v/>
      </c>
      <c r="D9">
        <f>IF($A9="","",CLEAN!$AF9)</f>
        <v/>
      </c>
      <c r="E9">
        <f>IF($A9="","",CLEAN!$AG9)</f>
        <v/>
      </c>
      <c r="F9">
        <f>IF($A9="","",CLEAN!$E9)</f>
        <v/>
      </c>
      <c r="G9">
        <f>IF($A9="","",CLEAN!$O9)</f>
        <v/>
      </c>
      <c r="H9">
        <f>IF($A9="","",CLEAN!$Q9)</f>
        <v/>
      </c>
      <c r="I9">
        <f>IF($A9="","",IF($G9="FCS",IF(CLEAN!$R9="","",CLEAN!$R9),IF($G9="FBS",IF(ISNA(MATCH(CLEAN!$N9,'TEAM RATINGS'!$A$6:$A$143,0)),"",IF(INDEX('TEAM RATINGS'!$O$6:$O$143,MATCH(CLEAN!$N9,'TEAM RATINGS'!$A$6:$A$143,0))="","",INDEX('TEAM RATINGS'!$O$6:$O$143,MATCH(CLEAN!$N9,'TEAM RATINGS'!$A$6:$A$143,0)))),"")))</f>
        <v/>
      </c>
      <c r="J9">
        <f>IF($A9="","",IF($H9="FCS",IF(CLEAN!$S9="","",CLEAN!$S9),IF($H9="FBS",IF(ISNA(MATCH(CLEAN!$P9,'TEAM RATINGS'!$A$6:$A$143,0)),"",IF(INDEX('TEAM RATINGS'!$O$6:$O$143,MATCH(CLEAN!$P9,'TEAM RATINGS'!$A$6:$A$143,0))="","",INDEX('TEAM RATINGS'!$O$6:$O$143,MATCH(CLEAN!$P9,'TEAM RATINGS'!$A$6:$A$143,0)))),"")))</f>
        <v/>
      </c>
      <c r="K9">
        <f>IF(OR($I9="",$J9=""),"",$J9-$I9)</f>
        <v/>
      </c>
      <c r="L9">
        <f>IF($A9="","",IF($F9=1,SETTINGS!$B$7,IF($H9&lt;&gt;"FBS",SETTINGS!$B$6,IF(ISNA(MATCH(CLEAN!$P9,'TEAM RATINGS'!$A$6:$A$143,0)),SETTINGS!$B$6,INDEX('TEAM RATINGS'!$S$6:$S$143,MATCH(CLEAN!$P9,'TEAM RATINGS'!$A$6:$A$143,0))))))</f>
        <v/>
      </c>
      <c r="M9">
        <f>IF($A9="","",IF($H9&lt;&gt;"FBS",0,IF(ISNA(MATCH(CLEAN!$P9,'QB VALUES'!$A$6:$A$143,0)),0,IF(INDEX('QB VALUES'!$G$6:$G$143,MATCH(CLEAN!$P9,'QB VALUES'!$A$6:$A$143,0))="",0,INDEX('QB VALUES'!$G$6:$G$143,MATCH(CLEAN!$P9,'QB VALUES'!$A$6:$A$143,0)))))-IF($G9&lt;&gt;"FBS",0,IF(ISNA(MATCH(CLEAN!$N9,'QB VALUES'!$A$6:$A$143,0)),0,IF(INDEX('QB VALUES'!$G$6:$G$143,MATCH(CLEAN!$N9,'QB VALUES'!$A$6:$A$143,0))="",0,INDEX('QB VALUES'!$G$6:$G$143,MATCH(CLEAN!$N9,'QB VALUES'!$A$6:$A$143,0))))))</f>
        <v/>
      </c>
      <c r="N9">
        <f>IF($A9="","",SUMIFS(ADJUSTMENTS!$C$6:$C$255,ADJUSTMENTS!$A$6:$A$255,"TRAVEL/REST",ADJUSTMENTS!$B$6:$B$255,$A9,ADJUSTMENTS!$J$6:$J$255,1))</f>
        <v/>
      </c>
      <c r="O9">
        <f>IF($A9="","",SUMIFS(ADJUSTMENTS!$C$6:$C$255,ADJUSTMENTS!$A$6:$A$255,"GAME",ADJUSTMENTS!$B$6:$B$255,$A9,ADJUSTMENTS!$J$6:$J$255,1)+SUMIFS(ADJUSTMENTS!$C$6:$C$255,ADJUSTMENTS!$A$6:$A$255,"INJURY",ADJUSTMENTS!$B$6:$B$255,$A9,ADJUSTMENTS!$J$6:$J$255,1)+SUMIFS(ADJUSTMENTS!$C$6:$C$255,ADJUSTMENTS!$A$6:$A$255,"WEATHER",ADJUSTMENTS!$B$6:$B$255,$A9,ADJUSTMENTS!$J$6:$J$255,1)+SUMIFS(ADJUSTMENTS!$C$6:$C$255,ADJUSTMENTS!$A$6:$A$255,"QB",ADJUSTMENTS!$B$6:$B$255,$A9,ADJUSTMENTS!$J$6:$J$255,1)+IF(CLEAN!$P9="",0,SUMIFS(ADJUSTMENTS!$C$6:$C$255,ADJUSTMENTS!$A$6:$A$255,"TEAM TEMP",ADJUSTMENTS!$B$6:$B$255,CLEAN!$P9,ADJUSTMENTS!$J$6:$J$255,1))-IF(CLEAN!$N9="",0,SUMIFS(ADJUSTMENTS!$C$6:$C$255,ADJUSTMENTS!$A$6:$A$255,"TEAM TEMP",ADJUSTMENTS!$B$6:$B$255,CLEAN!$N9,ADJUSTMENTS!$J$6:$J$255,1)))</f>
        <v/>
      </c>
      <c r="P9">
        <f>IF($K9="","",$K9+$L9+$M9+$N9+$O9)</f>
        <v/>
      </c>
      <c r="Q9">
        <f>IF($A9="","",IF(COUNTIFS(ADJUSTMENTS!$A$6:$A$255,"MARGIN OVERRIDE",ADJUSTMENTS!$B$6:$B$255,$A9,ADJUSTMENTS!$J$6:$J$255,1)=1,SUMIFS(ADJUSTMENTS!$C$6:$C$255,ADJUSTMENTS!$A$6:$A$255,"MARGIN OVERRIDE",ADJUSTMENTS!$B$6:$B$255,$A9,ADJUSTMENTS!$J$6:$J$255,1),""))</f>
        <v/>
      </c>
      <c r="R9">
        <f>IF($A9="","",IF(ISNUMBER($Q9),$Q9,IF($P9="","",$P9)))</f>
        <v/>
      </c>
      <c r="S9">
        <f>IF(OR($A9="",$R9=""),"",IF($R9&gt;0,$E9&amp;" -"&amp;TEXT(ABS($R9),"0.0"),IF($R9&lt;0,$D9&amp;" -"&amp;TEXT(ABS($R9),"0.0"),"PICK")))</f>
        <v/>
      </c>
      <c r="T9">
        <f>IF($A9="","",CALC!$N9)</f>
        <v/>
      </c>
      <c r="V9">
        <f>IF(OR($R9="",$T9=""),"",$R9+$T9)</f>
        <v/>
      </c>
      <c r="W9">
        <f>IF($V9="","",IF($V9&gt;0,$E9,$D9))</f>
        <v/>
      </c>
      <c r="X9">
        <f>IF(OR($V9="",$AI9="BLOCKED",$AI9="PENDING LINE",$AI9="STALE LINE"),"",IF(ABS($V9)&lt;SETTINGS!$B$8,"",IF(ABS($V9)&lt;SETTINGS!$B$9,"LEAN",IF(OR(ABS($V9)&lt;SETTINGS!$B$10,SETTINGS!$B$11&lt;&gt;"Y",$AI9&lt;&gt;"READY",$AF9&lt;&gt;"",$AG9&lt;&gt;""),"INVESTIGATE","BET"))))</f>
        <v/>
      </c>
      <c r="Y9">
        <f>IF(OR($A9="",SETTINGS!$B$22="",SETTINGS!$B$23="",$G9&lt;&gt;"FBS",$H9&lt;&gt;"FBS",CALC!$T9="",CALC!$U9="",CALC!$V9="",CALC!$W9=""),"",SETTINGS!$B$22+(CALC!$T9+CALC!$V9-CALC!$U9-CALC!$W9)*SETTINGS!$B$23)</f>
        <v/>
      </c>
      <c r="Z9">
        <f>IF($A9="","",CALC!$O9)</f>
        <v/>
      </c>
      <c r="AA9">
        <f>IF(OR($Y9="",$Z9=""),"",$Y9-$Z9)</f>
        <v/>
      </c>
      <c r="AB9">
        <f>IF($AA9="","",IF(ABS($AA9)&lt;SETTINGS!$B$8*2,"",IF(ABS($AA9)&lt;SETTINGS!$B$9*2,"LEAN",IF(OR(SETTINGS!$B$11&lt;&gt;"Y",$AI9&lt;&gt;"READY",ABS($AA9)&lt;SETTINGS!$B$10*2,$AF9&lt;&gt;"",$AG9&lt;&gt;""),"INVESTIGATE","BET"))))</f>
        <v/>
      </c>
      <c r="AC9">
        <f>IF(OR($Y9="",$R9=""),"",($Y9+$R9)/2)</f>
        <v/>
      </c>
      <c r="AD9">
        <f>IF(OR($Y9="",$R9=""),"",($Y9-$R9)/2)</f>
        <v/>
      </c>
      <c r="AE9">
        <f>IF($A9="","",IF(OR(IF($G9&lt;&gt;"FBS",FALSE(),IF(ISNA(MATCH(CLEAN!$N9,'QB VALUES'!$A$6:$A$143,0)),TRUE(),INDEX('QB VALUES'!$M$6:$M$143,MATCH(CLEAN!$N9,'QB VALUES'!$A$6:$A$143,0))="UNCERTAIN")),IF($H9&lt;&gt;"FBS",FALSE(),IF(ISNA(MATCH(CLEAN!$P9,'QB VALUES'!$A$6:$A$143,0)),TRUE(),INDEX('QB VALUES'!$M$6:$M$143,MATCH(CLEAN!$P9,'QB VALUES'!$A$6:$A$143,0))="UNCERTAIN"))),"QB UNCERTAIN","OK"))</f>
        <v/>
      </c>
      <c r="AF9">
        <f>IF($A9="","",IF(IF($G9&lt;&gt;"FBS",0,IF(AND(INDEX('TEAM RATINGS'!$D$6:$D$143,MATCH(CLEAN!$N9,'TEAM RATINGS'!$A$6:$A$143,0))="Y",INDEX('TEAM RATINGS'!$X$6:$X$143,MATCH(CLEAN!$N9,'TEAM RATINGS'!$A$6:$A$143,0))&lt;&gt;"Y"),1,0))+IF($H9&lt;&gt;"FBS",0,IF(AND(INDEX('TEAM RATINGS'!$D$6:$D$143,MATCH(CLEAN!$P9,'TEAM RATINGS'!$A$6:$A$143,0))="Y",INDEX('TEAM RATINGS'!$X$6:$X$143,MATCH(CLEAN!$P9,'TEAM RATINGS'!$A$6:$A$143,0))&lt;&gt;"Y"),1,0))&gt;0,"TRANSITIONAL",""))</f>
        <v/>
      </c>
      <c r="AG9">
        <f>IF($A9="","",IF(OR($G9="FCS",$H9="FCS"),"FCS OPP",""))</f>
        <v/>
      </c>
      <c r="AH9">
        <f>IF($A9="","",IF(CLEAN!$M9&gt;1,"DUP GAMEID; ","")&amp;IF(OR($G9="BLOCK",$H9="BLOCK"),"TEAM NOT FOUND; ","")&amp;IF(AND($G9="FBS",$I9=""),"AWAY RATING MISSING; ","")&amp;IF(AND($H9="FBS",$J9=""),"HOME RATING MISSING; ","")&amp;IF(AND(CALC!$L9&lt;&gt;"",CALC!$M9&lt;&gt;"",CALC!$N9=""),"INVALID FAVORITE; ","")&amp;IF(CALC!$R9=1,"DUPLICATE MARKET ROW; ","")&amp;IF(COUNTIFS(ADJUSTMENTS!$A$6:$A$255,"MARGIN OVERRIDE",ADJUSTMENTS!$B$6:$B$255,$A9,ADJUSTMENTS!$J$6:$J$255,1)&gt;1,"DUPLICATE OVERRIDE; ",""))</f>
        <v/>
      </c>
      <c r="AI9">
        <f>IF($A9="","",IF($AH9&lt;&gt;"","BLOCKED",IF($AG9&lt;&gt;"","FCS — NO PLAY",IF(CALC!$S9=1,"PENDING LINE",IF(CALC!$Q9=1,"STALE LINE",IF($AE9="QB UNCERTAIN","QB UNCERTAIN",IF($AF9&lt;&gt;"","TRANSITION UNCERTAIN",IF(OR($B9="",$C9=""),"DATA INCOMPLETE","READY"))))))))</f>
        <v/>
      </c>
      <c r="AJ9">
        <f>IF(OR($AI9="",$AI9="BLOCKED",$AI9="PENDING LINE",$AI9="FCS — NO PLAY"),"",MAX(1,MIN(5,3-IF(CALC!$Z9&lt;SETTINGS!$B$24,1,0)-IF($AE9="QB UNCERTAIN",1,0)-IF($AF9&lt;&gt;"",1,0)-IF($AG9&lt;&gt;"",1,0)+IF(CALC!$Z9&gt;=6,1,0))))</f>
        <v/>
      </c>
      <c r="AK9">
        <f>IF($A9="","",IF(ISNUMBER($Q9),"MARGIN OVR; ","")&amp;IF($G9&lt;&gt;"FBS","",IF(INDEX('TEAM RATINGS'!$P$6:$P$143,MATCH(CLEAN!$N9,'TEAM RATINGS'!$A$6:$A$143,0))="OVERRIDE","AWAY RATING OVR; ",""))&amp;IF($H9&lt;&gt;"FBS","",IF(INDEX('TEAM RATINGS'!$P$6:$P$143,MATCH(CLEAN!$P9,'TEAM RATINGS'!$A$6:$A$143,0))="OVERRIDE","HOME RATING OVR; ","")))</f>
        <v/>
      </c>
    </row>
    <row r="10">
      <c r="A10">
        <f>IF(CLEAN!$A10="","",CLEAN!$A10)</f>
        <v/>
      </c>
      <c r="B10">
        <f>IF($A10="","",CLEAN!$C10)</f>
        <v/>
      </c>
      <c r="C10">
        <f>IF($A10="","",CLEAN!$D10)</f>
        <v/>
      </c>
      <c r="D10">
        <f>IF($A10="","",CLEAN!$AF10)</f>
        <v/>
      </c>
      <c r="E10">
        <f>IF($A10="","",CLEAN!$AG10)</f>
        <v/>
      </c>
      <c r="F10">
        <f>IF($A10="","",CLEAN!$E10)</f>
        <v/>
      </c>
      <c r="G10">
        <f>IF($A10="","",CLEAN!$O10)</f>
        <v/>
      </c>
      <c r="H10">
        <f>IF($A10="","",CLEAN!$Q10)</f>
        <v/>
      </c>
      <c r="I10">
        <f>IF($A10="","",IF($G10="FCS",IF(CLEAN!$R10="","",CLEAN!$R10),IF($G10="FBS",IF(ISNA(MATCH(CLEAN!$N10,'TEAM RATINGS'!$A$6:$A$143,0)),"",IF(INDEX('TEAM RATINGS'!$O$6:$O$143,MATCH(CLEAN!$N10,'TEAM RATINGS'!$A$6:$A$143,0))="","",INDEX('TEAM RATINGS'!$O$6:$O$143,MATCH(CLEAN!$N10,'TEAM RATINGS'!$A$6:$A$143,0)))),"")))</f>
        <v/>
      </c>
      <c r="J10">
        <f>IF($A10="","",IF($H10="FCS",IF(CLEAN!$S10="","",CLEAN!$S10),IF($H10="FBS",IF(ISNA(MATCH(CLEAN!$P10,'TEAM RATINGS'!$A$6:$A$143,0)),"",IF(INDEX('TEAM RATINGS'!$O$6:$O$143,MATCH(CLEAN!$P10,'TEAM RATINGS'!$A$6:$A$143,0))="","",INDEX('TEAM RATINGS'!$O$6:$O$143,MATCH(CLEAN!$P10,'TEAM RATINGS'!$A$6:$A$143,0)))),"")))</f>
        <v/>
      </c>
      <c r="K10">
        <f>IF(OR($I10="",$J10=""),"",$J10-$I10)</f>
        <v/>
      </c>
      <c r="L10">
        <f>IF($A10="","",IF($F10=1,SETTINGS!$B$7,IF($H10&lt;&gt;"FBS",SETTINGS!$B$6,IF(ISNA(MATCH(CLEAN!$P10,'TEAM RATINGS'!$A$6:$A$143,0)),SETTINGS!$B$6,INDEX('TEAM RATINGS'!$S$6:$S$143,MATCH(CLEAN!$P10,'TEAM RATINGS'!$A$6:$A$143,0))))))</f>
        <v/>
      </c>
      <c r="M10">
        <f>IF($A10="","",IF($H10&lt;&gt;"FBS",0,IF(ISNA(MATCH(CLEAN!$P10,'QB VALUES'!$A$6:$A$143,0)),0,IF(INDEX('QB VALUES'!$G$6:$G$143,MATCH(CLEAN!$P10,'QB VALUES'!$A$6:$A$143,0))="",0,INDEX('QB VALUES'!$G$6:$G$143,MATCH(CLEAN!$P10,'QB VALUES'!$A$6:$A$143,0)))))-IF($G10&lt;&gt;"FBS",0,IF(ISNA(MATCH(CLEAN!$N10,'QB VALUES'!$A$6:$A$143,0)),0,IF(INDEX('QB VALUES'!$G$6:$G$143,MATCH(CLEAN!$N10,'QB VALUES'!$A$6:$A$143,0))="",0,INDEX('QB VALUES'!$G$6:$G$143,MATCH(CLEAN!$N10,'QB VALUES'!$A$6:$A$143,0))))))</f>
        <v/>
      </c>
      <c r="N10">
        <f>IF($A10="","",SUMIFS(ADJUSTMENTS!$C$6:$C$255,ADJUSTMENTS!$A$6:$A$255,"TRAVEL/REST",ADJUSTMENTS!$B$6:$B$255,$A10,ADJUSTMENTS!$J$6:$J$255,1))</f>
        <v/>
      </c>
      <c r="O10">
        <f>IF($A10="","",SUMIFS(ADJUSTMENTS!$C$6:$C$255,ADJUSTMENTS!$A$6:$A$255,"GAME",ADJUSTMENTS!$B$6:$B$255,$A10,ADJUSTMENTS!$J$6:$J$255,1)+SUMIFS(ADJUSTMENTS!$C$6:$C$255,ADJUSTMENTS!$A$6:$A$255,"INJURY",ADJUSTMENTS!$B$6:$B$255,$A10,ADJUSTMENTS!$J$6:$J$255,1)+SUMIFS(ADJUSTMENTS!$C$6:$C$255,ADJUSTMENTS!$A$6:$A$255,"WEATHER",ADJUSTMENTS!$B$6:$B$255,$A10,ADJUSTMENTS!$J$6:$J$255,1)+SUMIFS(ADJUSTMENTS!$C$6:$C$255,ADJUSTMENTS!$A$6:$A$255,"QB",ADJUSTMENTS!$B$6:$B$255,$A10,ADJUSTMENTS!$J$6:$J$255,1)+IF(CLEAN!$P10="",0,SUMIFS(ADJUSTMENTS!$C$6:$C$255,ADJUSTMENTS!$A$6:$A$255,"TEAM TEMP",ADJUSTMENTS!$B$6:$B$255,CLEAN!$P10,ADJUSTMENTS!$J$6:$J$255,1))-IF(CLEAN!$N10="",0,SUMIFS(ADJUSTMENTS!$C$6:$C$255,ADJUSTMENTS!$A$6:$A$255,"TEAM TEMP",ADJUSTMENTS!$B$6:$B$255,CLEAN!$N10,ADJUSTMENTS!$J$6:$J$255,1)))</f>
        <v/>
      </c>
      <c r="P10">
        <f>IF($K10="","",$K10+$L10+$M10+$N10+$O10)</f>
        <v/>
      </c>
      <c r="Q10">
        <f>IF($A10="","",IF(COUNTIFS(ADJUSTMENTS!$A$6:$A$255,"MARGIN OVERRIDE",ADJUSTMENTS!$B$6:$B$255,$A10,ADJUSTMENTS!$J$6:$J$255,1)=1,SUMIFS(ADJUSTMENTS!$C$6:$C$255,ADJUSTMENTS!$A$6:$A$255,"MARGIN OVERRIDE",ADJUSTMENTS!$B$6:$B$255,$A10,ADJUSTMENTS!$J$6:$J$255,1),""))</f>
        <v/>
      </c>
      <c r="R10">
        <f>IF($A10="","",IF(ISNUMBER($Q10),$Q10,IF($P10="","",$P10)))</f>
        <v/>
      </c>
      <c r="S10">
        <f>IF(OR($A10="",$R10=""),"",IF($R10&gt;0,$E10&amp;" -"&amp;TEXT(ABS($R10),"0.0"),IF($R10&lt;0,$D10&amp;" -"&amp;TEXT(ABS($R10),"0.0"),"PICK")))</f>
        <v/>
      </c>
      <c r="T10">
        <f>IF($A10="","",CALC!$N10)</f>
        <v/>
      </c>
      <c r="V10">
        <f>IF(OR($R10="",$T10=""),"",$R10+$T10)</f>
        <v/>
      </c>
      <c r="W10">
        <f>IF($V10="","",IF($V10&gt;0,$E10,$D10))</f>
        <v/>
      </c>
      <c r="X10">
        <f>IF(OR($V10="",$AI10="BLOCKED",$AI10="PENDING LINE",$AI10="STALE LINE"),"",IF(ABS($V10)&lt;SETTINGS!$B$8,"",IF(ABS($V10)&lt;SETTINGS!$B$9,"LEAN",IF(OR(ABS($V10)&lt;SETTINGS!$B$10,SETTINGS!$B$11&lt;&gt;"Y",$AI10&lt;&gt;"READY",$AF10&lt;&gt;"",$AG10&lt;&gt;""),"INVESTIGATE","BET"))))</f>
        <v/>
      </c>
      <c r="Y10">
        <f>IF(OR($A10="",SETTINGS!$B$22="",SETTINGS!$B$23="",$G10&lt;&gt;"FBS",$H10&lt;&gt;"FBS",CALC!$T10="",CALC!$U10="",CALC!$V10="",CALC!$W10=""),"",SETTINGS!$B$22+(CALC!$T10+CALC!$V10-CALC!$U10-CALC!$W10)*SETTINGS!$B$23)</f>
        <v/>
      </c>
      <c r="Z10">
        <f>IF($A10="","",CALC!$O10)</f>
        <v/>
      </c>
      <c r="AA10">
        <f>IF(OR($Y10="",$Z10=""),"",$Y10-$Z10)</f>
        <v/>
      </c>
      <c r="AB10">
        <f>IF($AA10="","",IF(ABS($AA10)&lt;SETTINGS!$B$8*2,"",IF(ABS($AA10)&lt;SETTINGS!$B$9*2,"LEAN",IF(OR(SETTINGS!$B$11&lt;&gt;"Y",$AI10&lt;&gt;"READY",ABS($AA10)&lt;SETTINGS!$B$10*2,$AF10&lt;&gt;"",$AG10&lt;&gt;""),"INVESTIGATE","BET"))))</f>
        <v/>
      </c>
      <c r="AC10">
        <f>IF(OR($Y10="",$R10=""),"",($Y10+$R10)/2)</f>
        <v/>
      </c>
      <c r="AD10">
        <f>IF(OR($Y10="",$R10=""),"",($Y10-$R10)/2)</f>
        <v/>
      </c>
      <c r="AE10">
        <f>IF($A10="","",IF(OR(IF($G10&lt;&gt;"FBS",FALSE(),IF(ISNA(MATCH(CLEAN!$N10,'QB VALUES'!$A$6:$A$143,0)),TRUE(),INDEX('QB VALUES'!$M$6:$M$143,MATCH(CLEAN!$N10,'QB VALUES'!$A$6:$A$143,0))="UNCERTAIN")),IF($H10&lt;&gt;"FBS",FALSE(),IF(ISNA(MATCH(CLEAN!$P10,'QB VALUES'!$A$6:$A$143,0)),TRUE(),INDEX('QB VALUES'!$M$6:$M$143,MATCH(CLEAN!$P10,'QB VALUES'!$A$6:$A$143,0))="UNCERTAIN"))),"QB UNCERTAIN","OK"))</f>
        <v/>
      </c>
      <c r="AF10">
        <f>IF($A10="","",IF(IF($G10&lt;&gt;"FBS",0,IF(AND(INDEX('TEAM RATINGS'!$D$6:$D$143,MATCH(CLEAN!$N10,'TEAM RATINGS'!$A$6:$A$143,0))="Y",INDEX('TEAM RATINGS'!$X$6:$X$143,MATCH(CLEAN!$N10,'TEAM RATINGS'!$A$6:$A$143,0))&lt;&gt;"Y"),1,0))+IF($H10&lt;&gt;"FBS",0,IF(AND(INDEX('TEAM RATINGS'!$D$6:$D$143,MATCH(CLEAN!$P10,'TEAM RATINGS'!$A$6:$A$143,0))="Y",INDEX('TEAM RATINGS'!$X$6:$X$143,MATCH(CLEAN!$P10,'TEAM RATINGS'!$A$6:$A$143,0))&lt;&gt;"Y"),1,0))&gt;0,"TRANSITIONAL",""))</f>
        <v/>
      </c>
      <c r="AG10">
        <f>IF($A10="","",IF(OR($G10="FCS",$H10="FCS"),"FCS OPP",""))</f>
        <v/>
      </c>
      <c r="AH10">
        <f>IF($A10="","",IF(CLEAN!$M10&gt;1,"DUP GAMEID; ","")&amp;IF(OR($G10="BLOCK",$H10="BLOCK"),"TEAM NOT FOUND; ","")&amp;IF(AND($G10="FBS",$I10=""),"AWAY RATING MISSING; ","")&amp;IF(AND($H10="FBS",$J10=""),"HOME RATING MISSING; ","")&amp;IF(AND(CALC!$L10&lt;&gt;"",CALC!$M10&lt;&gt;"",CALC!$N10=""),"INVALID FAVORITE; ","")&amp;IF(CALC!$R10=1,"DUPLICATE MARKET ROW; ","")&amp;IF(COUNTIFS(ADJUSTMENTS!$A$6:$A$255,"MARGIN OVERRIDE",ADJUSTMENTS!$B$6:$B$255,$A10,ADJUSTMENTS!$J$6:$J$255,1)&gt;1,"DUPLICATE OVERRIDE; ",""))</f>
        <v/>
      </c>
      <c r="AI10">
        <f>IF($A10="","",IF($AH10&lt;&gt;"","BLOCKED",IF($AG10&lt;&gt;"","FCS — NO PLAY",IF(CALC!$S10=1,"PENDING LINE",IF(CALC!$Q10=1,"STALE LINE",IF($AE10="QB UNCERTAIN","QB UNCERTAIN",IF($AF10&lt;&gt;"","TRANSITION UNCERTAIN",IF(OR($B10="",$C10=""),"DATA INCOMPLETE","READY"))))))))</f>
        <v/>
      </c>
      <c r="AJ10">
        <f>IF(OR($AI10="",$AI10="BLOCKED",$AI10="PENDING LINE",$AI10="FCS — NO PLAY"),"",MAX(1,MIN(5,3-IF(CALC!$Z10&lt;SETTINGS!$B$24,1,0)-IF($AE10="QB UNCERTAIN",1,0)-IF($AF10&lt;&gt;"",1,0)-IF($AG10&lt;&gt;"",1,0)+IF(CALC!$Z10&gt;=6,1,0))))</f>
        <v/>
      </c>
      <c r="AK10">
        <f>IF($A10="","",IF(ISNUMBER($Q10),"MARGIN OVR; ","")&amp;IF($G10&lt;&gt;"FBS","",IF(INDEX('TEAM RATINGS'!$P$6:$P$143,MATCH(CLEAN!$N10,'TEAM RATINGS'!$A$6:$A$143,0))="OVERRIDE","AWAY RATING OVR; ",""))&amp;IF($H10&lt;&gt;"FBS","",IF(INDEX('TEAM RATINGS'!$P$6:$P$143,MATCH(CLEAN!$P10,'TEAM RATINGS'!$A$6:$A$143,0))="OVERRIDE","HOME RATING OVR; ","")))</f>
        <v/>
      </c>
    </row>
    <row r="11">
      <c r="A11">
        <f>IF(CLEAN!$A11="","",CLEAN!$A11)</f>
        <v/>
      </c>
      <c r="B11">
        <f>IF($A11="","",CLEAN!$C11)</f>
        <v/>
      </c>
      <c r="C11">
        <f>IF($A11="","",CLEAN!$D11)</f>
        <v/>
      </c>
      <c r="D11">
        <f>IF($A11="","",CLEAN!$AF11)</f>
        <v/>
      </c>
      <c r="E11">
        <f>IF($A11="","",CLEAN!$AG11)</f>
        <v/>
      </c>
      <c r="F11">
        <f>IF($A11="","",CLEAN!$E11)</f>
        <v/>
      </c>
      <c r="G11">
        <f>IF($A11="","",CLEAN!$O11)</f>
        <v/>
      </c>
      <c r="H11">
        <f>IF($A11="","",CLEAN!$Q11)</f>
        <v/>
      </c>
      <c r="I11">
        <f>IF($A11="","",IF($G11="FCS",IF(CLEAN!$R11="","",CLEAN!$R11),IF($G11="FBS",IF(ISNA(MATCH(CLEAN!$N11,'TEAM RATINGS'!$A$6:$A$143,0)),"",IF(INDEX('TEAM RATINGS'!$O$6:$O$143,MATCH(CLEAN!$N11,'TEAM RATINGS'!$A$6:$A$143,0))="","",INDEX('TEAM RATINGS'!$O$6:$O$143,MATCH(CLEAN!$N11,'TEAM RATINGS'!$A$6:$A$143,0)))),"")))</f>
        <v/>
      </c>
      <c r="J11">
        <f>IF($A11="","",IF($H11="FCS",IF(CLEAN!$S11="","",CLEAN!$S11),IF($H11="FBS",IF(ISNA(MATCH(CLEAN!$P11,'TEAM RATINGS'!$A$6:$A$143,0)),"",IF(INDEX('TEAM RATINGS'!$O$6:$O$143,MATCH(CLEAN!$P11,'TEAM RATINGS'!$A$6:$A$143,0))="","",INDEX('TEAM RATINGS'!$O$6:$O$143,MATCH(CLEAN!$P11,'TEAM RATINGS'!$A$6:$A$143,0)))),"")))</f>
        <v/>
      </c>
      <c r="K11">
        <f>IF(OR($I11="",$J11=""),"",$J11-$I11)</f>
        <v/>
      </c>
      <c r="L11">
        <f>IF($A11="","",IF($F11=1,SETTINGS!$B$7,IF($H11&lt;&gt;"FBS",SETTINGS!$B$6,IF(ISNA(MATCH(CLEAN!$P11,'TEAM RATINGS'!$A$6:$A$143,0)),SETTINGS!$B$6,INDEX('TEAM RATINGS'!$S$6:$S$143,MATCH(CLEAN!$P11,'TEAM RATINGS'!$A$6:$A$143,0))))))</f>
        <v/>
      </c>
      <c r="M11">
        <f>IF($A11="","",IF($H11&lt;&gt;"FBS",0,IF(ISNA(MATCH(CLEAN!$P11,'QB VALUES'!$A$6:$A$143,0)),0,IF(INDEX('QB VALUES'!$G$6:$G$143,MATCH(CLEAN!$P11,'QB VALUES'!$A$6:$A$143,0))="",0,INDEX('QB VALUES'!$G$6:$G$143,MATCH(CLEAN!$P11,'QB VALUES'!$A$6:$A$143,0)))))-IF($G11&lt;&gt;"FBS",0,IF(ISNA(MATCH(CLEAN!$N11,'QB VALUES'!$A$6:$A$143,0)),0,IF(INDEX('QB VALUES'!$G$6:$G$143,MATCH(CLEAN!$N11,'QB VALUES'!$A$6:$A$143,0))="",0,INDEX('QB VALUES'!$G$6:$G$143,MATCH(CLEAN!$N11,'QB VALUES'!$A$6:$A$143,0))))))</f>
        <v/>
      </c>
      <c r="N11">
        <f>IF($A11="","",SUMIFS(ADJUSTMENTS!$C$6:$C$255,ADJUSTMENTS!$A$6:$A$255,"TRAVEL/REST",ADJUSTMENTS!$B$6:$B$255,$A11,ADJUSTMENTS!$J$6:$J$255,1))</f>
        <v/>
      </c>
      <c r="O11">
        <f>IF($A11="","",SUMIFS(ADJUSTMENTS!$C$6:$C$255,ADJUSTMENTS!$A$6:$A$255,"GAME",ADJUSTMENTS!$B$6:$B$255,$A11,ADJUSTMENTS!$J$6:$J$255,1)+SUMIFS(ADJUSTMENTS!$C$6:$C$255,ADJUSTMENTS!$A$6:$A$255,"INJURY",ADJUSTMENTS!$B$6:$B$255,$A11,ADJUSTMENTS!$J$6:$J$255,1)+SUMIFS(ADJUSTMENTS!$C$6:$C$255,ADJUSTMENTS!$A$6:$A$255,"WEATHER",ADJUSTMENTS!$B$6:$B$255,$A11,ADJUSTMENTS!$J$6:$J$255,1)+SUMIFS(ADJUSTMENTS!$C$6:$C$255,ADJUSTMENTS!$A$6:$A$255,"QB",ADJUSTMENTS!$B$6:$B$255,$A11,ADJUSTMENTS!$J$6:$J$255,1)+IF(CLEAN!$P11="",0,SUMIFS(ADJUSTMENTS!$C$6:$C$255,ADJUSTMENTS!$A$6:$A$255,"TEAM TEMP",ADJUSTMENTS!$B$6:$B$255,CLEAN!$P11,ADJUSTMENTS!$J$6:$J$255,1))-IF(CLEAN!$N11="",0,SUMIFS(ADJUSTMENTS!$C$6:$C$255,ADJUSTMENTS!$A$6:$A$255,"TEAM TEMP",ADJUSTMENTS!$B$6:$B$255,CLEAN!$N11,ADJUSTMENTS!$J$6:$J$255,1)))</f>
        <v/>
      </c>
      <c r="P11">
        <f>IF($K11="","",$K11+$L11+$M11+$N11+$O11)</f>
        <v/>
      </c>
      <c r="Q11">
        <f>IF($A11="","",IF(COUNTIFS(ADJUSTMENTS!$A$6:$A$255,"MARGIN OVERRIDE",ADJUSTMENTS!$B$6:$B$255,$A11,ADJUSTMENTS!$J$6:$J$255,1)=1,SUMIFS(ADJUSTMENTS!$C$6:$C$255,ADJUSTMENTS!$A$6:$A$255,"MARGIN OVERRIDE",ADJUSTMENTS!$B$6:$B$255,$A11,ADJUSTMENTS!$J$6:$J$255,1),""))</f>
        <v/>
      </c>
      <c r="R11">
        <f>IF($A11="","",IF(ISNUMBER($Q11),$Q11,IF($P11="","",$P11)))</f>
        <v/>
      </c>
      <c r="S11">
        <f>IF(OR($A11="",$R11=""),"",IF($R11&gt;0,$E11&amp;" -"&amp;TEXT(ABS($R11),"0.0"),IF($R11&lt;0,$D11&amp;" -"&amp;TEXT(ABS($R11),"0.0"),"PICK")))</f>
        <v/>
      </c>
      <c r="T11">
        <f>IF($A11="","",CALC!$N11)</f>
        <v/>
      </c>
      <c r="V11">
        <f>IF(OR($R11="",$T11=""),"",$R11+$T11)</f>
        <v/>
      </c>
      <c r="W11">
        <f>IF($V11="","",IF($V11&gt;0,$E11,$D11))</f>
        <v/>
      </c>
      <c r="X11">
        <f>IF(OR($V11="",$AI11="BLOCKED",$AI11="PENDING LINE",$AI11="STALE LINE"),"",IF(ABS($V11)&lt;SETTINGS!$B$8,"",IF(ABS($V11)&lt;SETTINGS!$B$9,"LEAN",IF(OR(ABS($V11)&lt;SETTINGS!$B$10,SETTINGS!$B$11&lt;&gt;"Y",$AI11&lt;&gt;"READY",$AF11&lt;&gt;"",$AG11&lt;&gt;""),"INVESTIGATE","BET"))))</f>
        <v/>
      </c>
      <c r="Y11">
        <f>IF(OR($A11="",SETTINGS!$B$22="",SETTINGS!$B$23="",$G11&lt;&gt;"FBS",$H11&lt;&gt;"FBS",CALC!$T11="",CALC!$U11="",CALC!$V11="",CALC!$W11=""),"",SETTINGS!$B$22+(CALC!$T11+CALC!$V11-CALC!$U11-CALC!$W11)*SETTINGS!$B$23)</f>
        <v/>
      </c>
      <c r="Z11">
        <f>IF($A11="","",CALC!$O11)</f>
        <v/>
      </c>
      <c r="AA11">
        <f>IF(OR($Y11="",$Z11=""),"",$Y11-$Z11)</f>
        <v/>
      </c>
      <c r="AB11">
        <f>IF($AA11="","",IF(ABS($AA11)&lt;SETTINGS!$B$8*2,"",IF(ABS($AA11)&lt;SETTINGS!$B$9*2,"LEAN",IF(OR(SETTINGS!$B$11&lt;&gt;"Y",$AI11&lt;&gt;"READY",ABS($AA11)&lt;SETTINGS!$B$10*2,$AF11&lt;&gt;"",$AG11&lt;&gt;""),"INVESTIGATE","BET"))))</f>
        <v/>
      </c>
      <c r="AC11">
        <f>IF(OR($Y11="",$R11=""),"",($Y11+$R11)/2)</f>
        <v/>
      </c>
      <c r="AD11">
        <f>IF(OR($Y11="",$R11=""),"",($Y11-$R11)/2)</f>
        <v/>
      </c>
      <c r="AE11">
        <f>IF($A11="","",IF(OR(IF($G11&lt;&gt;"FBS",FALSE(),IF(ISNA(MATCH(CLEAN!$N11,'QB VALUES'!$A$6:$A$143,0)),TRUE(),INDEX('QB VALUES'!$M$6:$M$143,MATCH(CLEAN!$N11,'QB VALUES'!$A$6:$A$143,0))="UNCERTAIN")),IF($H11&lt;&gt;"FBS",FALSE(),IF(ISNA(MATCH(CLEAN!$P11,'QB VALUES'!$A$6:$A$143,0)),TRUE(),INDEX('QB VALUES'!$M$6:$M$143,MATCH(CLEAN!$P11,'QB VALUES'!$A$6:$A$143,0))="UNCERTAIN"))),"QB UNCERTAIN","OK"))</f>
        <v/>
      </c>
      <c r="AF11">
        <f>IF($A11="","",IF(IF($G11&lt;&gt;"FBS",0,IF(AND(INDEX('TEAM RATINGS'!$D$6:$D$143,MATCH(CLEAN!$N11,'TEAM RATINGS'!$A$6:$A$143,0))="Y",INDEX('TEAM RATINGS'!$X$6:$X$143,MATCH(CLEAN!$N11,'TEAM RATINGS'!$A$6:$A$143,0))&lt;&gt;"Y"),1,0))+IF($H11&lt;&gt;"FBS",0,IF(AND(INDEX('TEAM RATINGS'!$D$6:$D$143,MATCH(CLEAN!$P11,'TEAM RATINGS'!$A$6:$A$143,0))="Y",INDEX('TEAM RATINGS'!$X$6:$X$143,MATCH(CLEAN!$P11,'TEAM RATINGS'!$A$6:$A$143,0))&lt;&gt;"Y"),1,0))&gt;0,"TRANSITIONAL",""))</f>
        <v/>
      </c>
      <c r="AG11">
        <f>IF($A11="","",IF(OR($G11="FCS",$H11="FCS"),"FCS OPP",""))</f>
        <v/>
      </c>
      <c r="AH11">
        <f>IF($A11="","",IF(CLEAN!$M11&gt;1,"DUP GAMEID; ","")&amp;IF(OR($G11="BLOCK",$H11="BLOCK"),"TEAM NOT FOUND; ","")&amp;IF(AND($G11="FBS",$I11=""),"AWAY RATING MISSING; ","")&amp;IF(AND($H11="FBS",$J11=""),"HOME RATING MISSING; ","")&amp;IF(AND(CALC!$L11&lt;&gt;"",CALC!$M11&lt;&gt;"",CALC!$N11=""),"INVALID FAVORITE; ","")&amp;IF(CALC!$R11=1,"DUPLICATE MARKET ROW; ","")&amp;IF(COUNTIFS(ADJUSTMENTS!$A$6:$A$255,"MARGIN OVERRIDE",ADJUSTMENTS!$B$6:$B$255,$A11,ADJUSTMENTS!$J$6:$J$255,1)&gt;1,"DUPLICATE OVERRIDE; ",""))</f>
        <v/>
      </c>
      <c r="AI11">
        <f>IF($A11="","",IF($AH11&lt;&gt;"","BLOCKED",IF($AG11&lt;&gt;"","FCS — NO PLAY",IF(CALC!$S11=1,"PENDING LINE",IF(CALC!$Q11=1,"STALE LINE",IF($AE11="QB UNCERTAIN","QB UNCERTAIN",IF($AF11&lt;&gt;"","TRANSITION UNCERTAIN",IF(OR($B11="",$C11=""),"DATA INCOMPLETE","READY"))))))))</f>
        <v/>
      </c>
      <c r="AJ11">
        <f>IF(OR($AI11="",$AI11="BLOCKED",$AI11="PENDING LINE",$AI11="FCS — NO PLAY"),"",MAX(1,MIN(5,3-IF(CALC!$Z11&lt;SETTINGS!$B$24,1,0)-IF($AE11="QB UNCERTAIN",1,0)-IF($AF11&lt;&gt;"",1,0)-IF($AG11&lt;&gt;"",1,0)+IF(CALC!$Z11&gt;=6,1,0))))</f>
        <v/>
      </c>
      <c r="AK11">
        <f>IF($A11="","",IF(ISNUMBER($Q11),"MARGIN OVR; ","")&amp;IF($G11&lt;&gt;"FBS","",IF(INDEX('TEAM RATINGS'!$P$6:$P$143,MATCH(CLEAN!$N11,'TEAM RATINGS'!$A$6:$A$143,0))="OVERRIDE","AWAY RATING OVR; ",""))&amp;IF($H11&lt;&gt;"FBS","",IF(INDEX('TEAM RATINGS'!$P$6:$P$143,MATCH(CLEAN!$P11,'TEAM RATINGS'!$A$6:$A$143,0))="OVERRIDE","HOME RATING OVR; ","")))</f>
        <v/>
      </c>
    </row>
    <row r="14">
      <c r="A14">
        <f>IF(CLEAN!$A14="","",CLEAN!$A14)</f>
        <v/>
      </c>
      <c r="B14">
        <f>IF($A14="","",CLEAN!$C14)</f>
        <v/>
      </c>
      <c r="C14">
        <f>IF($A14="","",CLEAN!$D14)</f>
        <v/>
      </c>
      <c r="D14">
        <f>IF($A14="","",CLEAN!$AF14)</f>
        <v/>
      </c>
      <c r="E14">
        <f>IF($A14="","",CLEAN!$AG14)</f>
        <v/>
      </c>
      <c r="F14">
        <f>IF($A14="","",CLEAN!$E14)</f>
        <v/>
      </c>
      <c r="G14">
        <f>IF($A14="","",CLEAN!$O14)</f>
        <v/>
      </c>
      <c r="H14">
        <f>IF($A14="","",CLEAN!$Q14)</f>
        <v/>
      </c>
      <c r="I14">
        <f>IF($A14="","",IF($G14="FCS",IF(CLEAN!$R14="","",CLEAN!$R14),IF($G14="FBS",IF(ISNA(MATCH(CLEAN!$N14,'TEAM RATINGS'!$A$6:$A$143,0)),"",IF(INDEX('TEAM RATINGS'!$O$6:$O$143,MATCH(CLEAN!$N14,'TEAM RATINGS'!$A$6:$A$143,0))="","",INDEX('TEAM RATINGS'!$O$6:$O$143,MATCH(CLEAN!$N14,'TEAM RATINGS'!$A$6:$A$143,0)))),"")))</f>
        <v/>
      </c>
      <c r="J14">
        <f>IF($A14="","",IF($H14="FCS",IF(CLEAN!$S14="","",CLEAN!$S14),IF($H14="FBS",IF(ISNA(MATCH(CLEAN!$P14,'TEAM RATINGS'!$A$6:$A$143,0)),"",IF(INDEX('TEAM RATINGS'!$O$6:$O$143,MATCH(CLEAN!$P14,'TEAM RATINGS'!$A$6:$A$143,0))="","",INDEX('TEAM RATINGS'!$O$6:$O$143,MATCH(CLEAN!$P14,'TEAM RATINGS'!$A$6:$A$143,0)))),"")))</f>
        <v/>
      </c>
      <c r="K14">
        <f>IF(OR($I14="",$J14=""),"",$J14-$I14)</f>
        <v/>
      </c>
      <c r="L14">
        <f>IF($A14="","",IF($F14=1,SETTINGS!$B$7,IF($H14&lt;&gt;"FBS",SETTINGS!$B$6,IF(ISNA(MATCH(CLEAN!$P14,'TEAM RATINGS'!$A$6:$A$143,0)),SETTINGS!$B$6,INDEX('TEAM RATINGS'!$S$6:$S$143,MATCH(CLEAN!$P14,'TEAM RATINGS'!$A$6:$A$143,0))))))</f>
        <v/>
      </c>
      <c r="M14">
        <f>IF($A14="","",IF($H14&lt;&gt;"FBS",0,IF(ISNA(MATCH(CLEAN!$P14,'QB VALUES'!$A$6:$A$143,0)),0,IF(INDEX('QB VALUES'!$G$6:$G$143,MATCH(CLEAN!$P14,'QB VALUES'!$A$6:$A$143,0))="",0,INDEX('QB VALUES'!$G$6:$G$143,MATCH(CLEAN!$P14,'QB VALUES'!$A$6:$A$143,0)))))-IF($G14&lt;&gt;"FBS",0,IF(ISNA(MATCH(CLEAN!$N14,'QB VALUES'!$A$6:$A$143,0)),0,IF(INDEX('QB VALUES'!$G$6:$G$143,MATCH(CLEAN!$N14,'QB VALUES'!$A$6:$A$143,0))="",0,INDEX('QB VALUES'!$G$6:$G$143,MATCH(CLEAN!$N14,'QB VALUES'!$A$6:$A$143,0))))))</f>
        <v/>
      </c>
      <c r="N14">
        <f>IF($A14="","",SUMIFS(ADJUSTMENTS!$C$6:$C$255,ADJUSTMENTS!$A$6:$A$255,"TRAVEL/REST",ADJUSTMENTS!$B$6:$B$255,$A14,ADJUSTMENTS!$J$6:$J$255,1))</f>
        <v/>
      </c>
      <c r="O14">
        <f>IF($A14="","",SUMIFS(ADJUSTMENTS!$C$6:$C$255,ADJUSTMENTS!$A$6:$A$255,"GAME",ADJUSTMENTS!$B$6:$B$255,$A14,ADJUSTMENTS!$J$6:$J$255,1)+SUMIFS(ADJUSTMENTS!$C$6:$C$255,ADJUSTMENTS!$A$6:$A$255,"INJURY",ADJUSTMENTS!$B$6:$B$255,$A14,ADJUSTMENTS!$J$6:$J$255,1)+SUMIFS(ADJUSTMENTS!$C$6:$C$255,ADJUSTMENTS!$A$6:$A$255,"WEATHER",ADJUSTMENTS!$B$6:$B$255,$A14,ADJUSTMENTS!$J$6:$J$255,1)+SUMIFS(ADJUSTMENTS!$C$6:$C$255,ADJUSTMENTS!$A$6:$A$255,"QB",ADJUSTMENTS!$B$6:$B$255,$A14,ADJUSTMENTS!$J$6:$J$255,1)+IF(CLEAN!$P14="",0,SUMIFS(ADJUSTMENTS!$C$6:$C$255,ADJUSTMENTS!$A$6:$A$255,"TEAM TEMP",ADJUSTMENTS!$B$6:$B$255,CLEAN!$P14,ADJUSTMENTS!$J$6:$J$255,1))-IF(CLEAN!$N14="",0,SUMIFS(ADJUSTMENTS!$C$6:$C$255,ADJUSTMENTS!$A$6:$A$255,"TEAM TEMP",ADJUSTMENTS!$B$6:$B$255,CLEAN!$N14,ADJUSTMENTS!$J$6:$J$255,1)))</f>
        <v/>
      </c>
      <c r="P14">
        <f>IF($K14="","",$K14+$L14+$M14+$N14+$O14)</f>
        <v/>
      </c>
      <c r="Q14">
        <f>IF($A14="","",IF(COUNTIFS(ADJUSTMENTS!$A$6:$A$255,"MARGIN OVERRIDE",ADJUSTMENTS!$B$6:$B$255,$A14,ADJUSTMENTS!$J$6:$J$255,1)=1,SUMIFS(ADJUSTMENTS!$C$6:$C$255,ADJUSTMENTS!$A$6:$A$255,"MARGIN OVERRIDE",ADJUSTMENTS!$B$6:$B$255,$A14,ADJUSTMENTS!$J$6:$J$255,1),""))</f>
        <v/>
      </c>
      <c r="R14">
        <f>IF($A14="","",IF(ISNUMBER($Q14),$Q14,IF($P14="","",$P14)))</f>
        <v/>
      </c>
      <c r="S14">
        <f>IF(OR($A14="",$R14=""),"",IF($R14&gt;0,$E14&amp;" -"&amp;TEXT(ABS($R14),"0.0"),IF($R14&lt;0,$D14&amp;" -"&amp;TEXT(ABS($R14),"0.0"),"PICK")))</f>
        <v/>
      </c>
      <c r="T14">
        <f>IF($A14="","",CALC!$N14)</f>
        <v/>
      </c>
      <c r="V14">
        <f>IF(OR($R14="",$T14=""),"",$R14+$T14)</f>
        <v/>
      </c>
      <c r="W14">
        <f>IF($V14="","",IF($V14&gt;0,$E14,$D14))</f>
        <v/>
      </c>
      <c r="X14">
        <f>IF(OR($V14="",$AI14="BLOCKED",$AI14="PENDING LINE",$AI14="STALE LINE"),"",IF(ABS($V14)&lt;SETTINGS!$B$8,"",IF(ABS($V14)&lt;SETTINGS!$B$9,"LEAN",IF(OR(ABS($V14)&lt;SETTINGS!$B$10,SETTINGS!$B$11&lt;&gt;"Y",$AI14&lt;&gt;"READY",$AF14&lt;&gt;"",$AG14&lt;&gt;""),"INVESTIGATE","BET"))))</f>
        <v/>
      </c>
      <c r="Y14">
        <f>IF(OR($A14="",SETTINGS!$B$22="",SETTINGS!$B$23="",$G14&lt;&gt;"FBS",$H14&lt;&gt;"FBS",CALC!$T14="",CALC!$U14="",CALC!$V14="",CALC!$W14=""),"",SETTINGS!$B$22+(CALC!$T14+CALC!$V14-CALC!$U14-CALC!$W14)*SETTINGS!$B$23)</f>
        <v/>
      </c>
      <c r="Z14">
        <f>IF($A14="","",CALC!$O14)</f>
        <v/>
      </c>
      <c r="AA14">
        <f>IF(OR($Y14="",$Z14=""),"",$Y14-$Z14)</f>
        <v/>
      </c>
      <c r="AB14">
        <f>IF($AA14="","",IF(ABS($AA14)&lt;SETTINGS!$B$8*2,"",IF(ABS($AA14)&lt;SETTINGS!$B$9*2,"LEAN",IF(OR(SETTINGS!$B$11&lt;&gt;"Y",$AI14&lt;&gt;"READY",ABS($AA14)&lt;SETTINGS!$B$10*2,$AF14&lt;&gt;"",$AG14&lt;&gt;""),"INVESTIGATE","BET"))))</f>
        <v/>
      </c>
      <c r="AC14">
        <f>IF(OR($Y14="",$R14=""),"",($Y14+$R14)/2)</f>
        <v/>
      </c>
      <c r="AD14">
        <f>IF(OR($Y14="",$R14=""),"",($Y14-$R14)/2)</f>
        <v/>
      </c>
      <c r="AE14">
        <f>IF($A14="","",IF(OR(IF($G14&lt;&gt;"FBS",FALSE(),IF(ISNA(MATCH(CLEAN!$N14,'QB VALUES'!$A$6:$A$143,0)),TRUE(),INDEX('QB VALUES'!$M$6:$M$143,MATCH(CLEAN!$N14,'QB VALUES'!$A$6:$A$143,0))="UNCERTAIN")),IF($H14&lt;&gt;"FBS",FALSE(),IF(ISNA(MATCH(CLEAN!$P14,'QB VALUES'!$A$6:$A$143,0)),TRUE(),INDEX('QB VALUES'!$M$6:$M$143,MATCH(CLEAN!$P14,'QB VALUES'!$A$6:$A$143,0))="UNCERTAIN"))),"QB UNCERTAIN","OK"))</f>
        <v/>
      </c>
      <c r="AF14">
        <f>IF($A14="","",IF(IF($G14&lt;&gt;"FBS",0,IF(AND(INDEX('TEAM RATINGS'!$D$6:$D$143,MATCH(CLEAN!$N14,'TEAM RATINGS'!$A$6:$A$143,0))="Y",INDEX('TEAM RATINGS'!$X$6:$X$143,MATCH(CLEAN!$N14,'TEAM RATINGS'!$A$6:$A$143,0))&lt;&gt;"Y"),1,0))+IF($H14&lt;&gt;"FBS",0,IF(AND(INDEX('TEAM RATINGS'!$D$6:$D$143,MATCH(CLEAN!$P14,'TEAM RATINGS'!$A$6:$A$143,0))="Y",INDEX('TEAM RATINGS'!$X$6:$X$143,MATCH(CLEAN!$P14,'TEAM RATINGS'!$A$6:$A$143,0))&lt;&gt;"Y"),1,0))&gt;0,"TRANSITIONAL",""))</f>
        <v/>
      </c>
      <c r="AG14">
        <f>IF($A14="","",IF(OR($G14="FCS",$H14="FCS"),"FCS OPP",""))</f>
        <v/>
      </c>
      <c r="AH14">
        <f>IF($A14="","",IF(CLEAN!$M14&gt;1,"DUP GAMEID; ","")&amp;IF(OR($G14="BLOCK",$H14="BLOCK"),"TEAM NOT FOUND; ","")&amp;IF(AND($G14="FBS",$I14=""),"AWAY RATING MISSING; ","")&amp;IF(AND($H14="FBS",$J14=""),"HOME RATING MISSING; ","")&amp;IF(AND(CALC!$L14&lt;&gt;"",CALC!$M14&lt;&gt;"",CALC!$N14=""),"INVALID FAVORITE; ","")&amp;IF(CALC!$R14=1,"DUPLICATE MARKET ROW; ","")&amp;IF(COUNTIFS(ADJUSTMENTS!$A$6:$A$255,"MARGIN OVERRIDE",ADJUSTMENTS!$B$6:$B$255,$A14,ADJUSTMENTS!$J$6:$J$255,1)&gt;1,"DUPLICATE OVERRIDE; ",""))</f>
        <v/>
      </c>
      <c r="AI14">
        <f>IF($A14="","",IF($AH14&lt;&gt;"","BLOCKED",IF($AG14&lt;&gt;"","FCS — NO PLAY",IF(CALC!$S14=1,"PENDING LINE",IF(CALC!$Q14=1,"STALE LINE",IF($AE14="QB UNCERTAIN","QB UNCERTAIN",IF($AF14&lt;&gt;"","TRANSITION UNCERTAIN",IF(OR($B14="",$C14=""),"DATA INCOMPLETE","READY"))))))))</f>
        <v/>
      </c>
      <c r="AJ14">
        <f>IF(OR($AI14="",$AI14="BLOCKED",$AI14="PENDING LINE",$AI14="FCS — NO PLAY"),"",MAX(1,MIN(5,3-IF(CALC!$Z14&lt;SETTINGS!$B$24,1,0)-IF($AE14="QB UNCERTAIN",1,0)-IF($AF14&lt;&gt;"",1,0)-IF($AG14&lt;&gt;"",1,0)+IF(CALC!$Z14&gt;=6,1,0))))</f>
        <v/>
      </c>
      <c r="AK14">
        <f>IF($A14="","",IF(ISNUMBER($Q14),"MARGIN OVR; ","")&amp;IF($G14&lt;&gt;"FBS","",IF(INDEX('TEAM RATINGS'!$P$6:$P$143,MATCH(CLEAN!$N14,'TEAM RATINGS'!$A$6:$A$143,0))="OVERRIDE","AWAY RATING OVR; ",""))&amp;IF($H14&lt;&gt;"FBS","",IF(INDEX('TEAM RATINGS'!$P$6:$P$143,MATCH(CLEAN!$P14,'TEAM RATINGS'!$A$6:$A$143,0))="OVERRIDE","HOME RATING OVR; ","")))</f>
        <v/>
      </c>
    </row>
    <row r="15">
      <c r="A15">
        <f>IF(CLEAN!$A15="","",CLEAN!$A15)</f>
        <v/>
      </c>
      <c r="B15">
        <f>IF($A15="","",CLEAN!$C15)</f>
        <v/>
      </c>
      <c r="C15">
        <f>IF($A15="","",CLEAN!$D15)</f>
        <v/>
      </c>
      <c r="D15">
        <f>IF($A15="","",CLEAN!$AF15)</f>
        <v/>
      </c>
      <c r="E15">
        <f>IF($A15="","",CLEAN!$AG15)</f>
        <v/>
      </c>
      <c r="F15">
        <f>IF($A15="","",CLEAN!$E15)</f>
        <v/>
      </c>
      <c r="G15">
        <f>IF($A15="","",CLEAN!$O15)</f>
        <v/>
      </c>
      <c r="H15">
        <f>IF($A15="","",CLEAN!$Q15)</f>
        <v/>
      </c>
      <c r="I15">
        <f>IF($A15="","",IF($G15="FCS",IF(CLEAN!$R15="","",CLEAN!$R15),IF($G15="FBS",IF(ISNA(MATCH(CLEAN!$N15,'TEAM RATINGS'!$A$6:$A$143,0)),"",IF(INDEX('TEAM RATINGS'!$O$6:$O$143,MATCH(CLEAN!$N15,'TEAM RATINGS'!$A$6:$A$143,0))="","",INDEX('TEAM RATINGS'!$O$6:$O$143,MATCH(CLEAN!$N15,'TEAM RATINGS'!$A$6:$A$143,0)))),"")))</f>
        <v/>
      </c>
      <c r="J15">
        <f>IF($A15="","",IF($H15="FCS",IF(CLEAN!$S15="","",CLEAN!$S15),IF($H15="FBS",IF(ISNA(MATCH(CLEAN!$P15,'TEAM RATINGS'!$A$6:$A$143,0)),"",IF(INDEX('TEAM RATINGS'!$O$6:$O$143,MATCH(CLEAN!$P15,'TEAM RATINGS'!$A$6:$A$143,0))="","",INDEX('TEAM RATINGS'!$O$6:$O$143,MATCH(CLEAN!$P15,'TEAM RATINGS'!$A$6:$A$143,0)))),"")))</f>
        <v/>
      </c>
      <c r="K15">
        <f>IF(OR($I15="",$J15=""),"",$J15-$I15)</f>
        <v/>
      </c>
      <c r="L15">
        <f>IF($A15="","",IF($F15=1,SETTINGS!$B$7,IF($H15&lt;&gt;"FBS",SETTINGS!$B$6,IF(ISNA(MATCH(CLEAN!$P15,'TEAM RATINGS'!$A$6:$A$143,0)),SETTINGS!$B$6,INDEX('TEAM RATINGS'!$S$6:$S$143,MATCH(CLEAN!$P15,'TEAM RATINGS'!$A$6:$A$143,0))))))</f>
        <v/>
      </c>
      <c r="M15">
        <f>IF($A15="","",IF($H15&lt;&gt;"FBS",0,IF(ISNA(MATCH(CLEAN!$P15,'QB VALUES'!$A$6:$A$143,0)),0,IF(INDEX('QB VALUES'!$G$6:$G$143,MATCH(CLEAN!$P15,'QB VALUES'!$A$6:$A$143,0))="",0,INDEX('QB VALUES'!$G$6:$G$143,MATCH(CLEAN!$P15,'QB VALUES'!$A$6:$A$143,0)))))-IF($G15&lt;&gt;"FBS",0,IF(ISNA(MATCH(CLEAN!$N15,'QB VALUES'!$A$6:$A$143,0)),0,IF(INDEX('QB VALUES'!$G$6:$G$143,MATCH(CLEAN!$N15,'QB VALUES'!$A$6:$A$143,0))="",0,INDEX('QB VALUES'!$G$6:$G$143,MATCH(CLEAN!$N15,'QB VALUES'!$A$6:$A$143,0))))))</f>
        <v/>
      </c>
      <c r="N15">
        <f>IF($A15="","",SUMIFS(ADJUSTMENTS!$C$6:$C$255,ADJUSTMENTS!$A$6:$A$255,"TRAVEL/REST",ADJUSTMENTS!$B$6:$B$255,$A15,ADJUSTMENTS!$J$6:$J$255,1))</f>
        <v/>
      </c>
      <c r="O15">
        <f>IF($A15="","",SUMIFS(ADJUSTMENTS!$C$6:$C$255,ADJUSTMENTS!$A$6:$A$255,"GAME",ADJUSTMENTS!$B$6:$B$255,$A15,ADJUSTMENTS!$J$6:$J$255,1)+SUMIFS(ADJUSTMENTS!$C$6:$C$255,ADJUSTMENTS!$A$6:$A$255,"INJURY",ADJUSTMENTS!$B$6:$B$255,$A15,ADJUSTMENTS!$J$6:$J$255,1)+SUMIFS(ADJUSTMENTS!$C$6:$C$255,ADJUSTMENTS!$A$6:$A$255,"WEATHER",ADJUSTMENTS!$B$6:$B$255,$A15,ADJUSTMENTS!$J$6:$J$255,1)+SUMIFS(ADJUSTMENTS!$C$6:$C$255,ADJUSTMENTS!$A$6:$A$255,"QB",ADJUSTMENTS!$B$6:$B$255,$A15,ADJUSTMENTS!$J$6:$J$255,1)+IF(CLEAN!$P15="",0,SUMIFS(ADJUSTMENTS!$C$6:$C$255,ADJUSTMENTS!$A$6:$A$255,"TEAM TEMP",ADJUSTMENTS!$B$6:$B$255,CLEAN!$P15,ADJUSTMENTS!$J$6:$J$255,1))-IF(CLEAN!$N15="",0,SUMIFS(ADJUSTMENTS!$C$6:$C$255,ADJUSTMENTS!$A$6:$A$255,"TEAM TEMP",ADJUSTMENTS!$B$6:$B$255,CLEAN!$N15,ADJUSTMENTS!$J$6:$J$255,1)))</f>
        <v/>
      </c>
      <c r="P15">
        <f>IF($K15="","",$K15+$L15+$M15+$N15+$O15)</f>
        <v/>
      </c>
      <c r="Q15">
        <f>IF($A15="","",IF(COUNTIFS(ADJUSTMENTS!$A$6:$A$255,"MARGIN OVERRIDE",ADJUSTMENTS!$B$6:$B$255,$A15,ADJUSTMENTS!$J$6:$J$255,1)=1,SUMIFS(ADJUSTMENTS!$C$6:$C$255,ADJUSTMENTS!$A$6:$A$255,"MARGIN OVERRIDE",ADJUSTMENTS!$B$6:$B$255,$A15,ADJUSTMENTS!$J$6:$J$255,1),""))</f>
        <v/>
      </c>
      <c r="R15">
        <f>IF($A15="","",IF(ISNUMBER($Q15),$Q15,IF($P15="","",$P15)))</f>
        <v/>
      </c>
      <c r="S15">
        <f>IF(OR($A15="",$R15=""),"",IF($R15&gt;0,$E15&amp;" -"&amp;TEXT(ABS($R15),"0.0"),IF($R15&lt;0,$D15&amp;" -"&amp;TEXT(ABS($R15),"0.0"),"PICK")))</f>
        <v/>
      </c>
      <c r="T15">
        <f>IF($A15="","",CALC!$N15)</f>
        <v/>
      </c>
      <c r="V15">
        <f>IF(OR($R15="",$T15=""),"",$R15+$T15)</f>
        <v/>
      </c>
      <c r="W15">
        <f>IF($V15="","",IF($V15&gt;0,$E15,$D15))</f>
        <v/>
      </c>
      <c r="X15">
        <f>IF(OR($V15="",$AI15="BLOCKED",$AI15="PENDING LINE",$AI15="STALE LINE"),"",IF(ABS($V15)&lt;SETTINGS!$B$8,"",IF(ABS($V15)&lt;SETTINGS!$B$9,"LEAN",IF(OR(ABS($V15)&lt;SETTINGS!$B$10,SETTINGS!$B$11&lt;&gt;"Y",$AI15&lt;&gt;"READY",$AF15&lt;&gt;"",$AG15&lt;&gt;""),"INVESTIGATE","BET"))))</f>
        <v/>
      </c>
      <c r="Y15">
        <f>IF(OR($A15="",SETTINGS!$B$22="",SETTINGS!$B$23="",$G15&lt;&gt;"FBS",$H15&lt;&gt;"FBS",CALC!$T15="",CALC!$U15="",CALC!$V15="",CALC!$W15=""),"",SETTINGS!$B$22+(CALC!$T15+CALC!$V15-CALC!$U15-CALC!$W15)*SETTINGS!$B$23)</f>
        <v/>
      </c>
      <c r="Z15">
        <f>IF($A15="","",CALC!$O15)</f>
        <v/>
      </c>
      <c r="AA15">
        <f>IF(OR($Y15="",$Z15=""),"",$Y15-$Z15)</f>
        <v/>
      </c>
      <c r="AB15">
        <f>IF($AA15="","",IF(ABS($AA15)&lt;SETTINGS!$B$8*2,"",IF(ABS($AA15)&lt;SETTINGS!$B$9*2,"LEAN",IF(OR(SETTINGS!$B$11&lt;&gt;"Y",$AI15&lt;&gt;"READY",ABS($AA15)&lt;SETTINGS!$B$10*2,$AF15&lt;&gt;"",$AG15&lt;&gt;""),"INVESTIGATE","BET"))))</f>
        <v/>
      </c>
      <c r="AC15">
        <f>IF(OR($Y15="",$R15=""),"",($Y15+$R15)/2)</f>
        <v/>
      </c>
      <c r="AD15">
        <f>IF(OR($Y15="",$R15=""),"",($Y15-$R15)/2)</f>
        <v/>
      </c>
      <c r="AE15">
        <f>IF($A15="","",IF(OR(IF($G15&lt;&gt;"FBS",FALSE(),IF(ISNA(MATCH(CLEAN!$N15,'QB VALUES'!$A$6:$A$143,0)),TRUE(),INDEX('QB VALUES'!$M$6:$M$143,MATCH(CLEAN!$N15,'QB VALUES'!$A$6:$A$143,0))="UNCERTAIN")),IF($H15&lt;&gt;"FBS",FALSE(),IF(ISNA(MATCH(CLEAN!$P15,'QB VALUES'!$A$6:$A$143,0)),TRUE(),INDEX('QB VALUES'!$M$6:$M$143,MATCH(CLEAN!$P15,'QB VALUES'!$A$6:$A$143,0))="UNCERTAIN"))),"QB UNCERTAIN","OK"))</f>
        <v/>
      </c>
      <c r="AF15">
        <f>IF($A15="","",IF(IF($G15&lt;&gt;"FBS",0,IF(AND(INDEX('TEAM RATINGS'!$D$6:$D$143,MATCH(CLEAN!$N15,'TEAM RATINGS'!$A$6:$A$143,0))="Y",INDEX('TEAM RATINGS'!$X$6:$X$143,MATCH(CLEAN!$N15,'TEAM RATINGS'!$A$6:$A$143,0))&lt;&gt;"Y"),1,0))+IF($H15&lt;&gt;"FBS",0,IF(AND(INDEX('TEAM RATINGS'!$D$6:$D$143,MATCH(CLEAN!$P15,'TEAM RATINGS'!$A$6:$A$143,0))="Y",INDEX('TEAM RATINGS'!$X$6:$X$143,MATCH(CLEAN!$P15,'TEAM RATINGS'!$A$6:$A$143,0))&lt;&gt;"Y"),1,0))&gt;0,"TRANSITIONAL",""))</f>
        <v/>
      </c>
      <c r="AG15">
        <f>IF($A15="","",IF(OR($G15="FCS",$H15="FCS"),"FCS OPP",""))</f>
        <v/>
      </c>
      <c r="AH15">
        <f>IF($A15="","",IF(CLEAN!$M15&gt;1,"DUP GAMEID; ","")&amp;IF(OR($G15="BLOCK",$H15="BLOCK"),"TEAM NOT FOUND; ","")&amp;IF(AND($G15="FBS",$I15=""),"AWAY RATING MISSING; ","")&amp;IF(AND($H15="FBS",$J15=""),"HOME RATING MISSING; ","")&amp;IF(AND(CALC!$L15&lt;&gt;"",CALC!$M15&lt;&gt;"",CALC!$N15=""),"INVALID FAVORITE; ","")&amp;IF(CALC!$R15=1,"DUPLICATE MARKET ROW; ","")&amp;IF(COUNTIFS(ADJUSTMENTS!$A$6:$A$255,"MARGIN OVERRIDE",ADJUSTMENTS!$B$6:$B$255,$A15,ADJUSTMENTS!$J$6:$J$255,1)&gt;1,"DUPLICATE OVERRIDE; ",""))</f>
        <v/>
      </c>
      <c r="AI15">
        <f>IF($A15="","",IF($AH15&lt;&gt;"","BLOCKED",IF($AG15&lt;&gt;"","FCS — NO PLAY",IF(CALC!$S15=1,"PENDING LINE",IF(CALC!$Q15=1,"STALE LINE",IF($AE15="QB UNCERTAIN","QB UNCERTAIN",IF($AF15&lt;&gt;"","TRANSITION UNCERTAIN",IF(OR($B15="",$C15=""),"DATA INCOMPLETE","READY"))))))))</f>
        <v/>
      </c>
      <c r="AJ15">
        <f>IF(OR($AI15="",$AI15="BLOCKED",$AI15="PENDING LINE",$AI15="FCS — NO PLAY"),"",MAX(1,MIN(5,3-IF(CALC!$Z15&lt;SETTINGS!$B$24,1,0)-IF($AE15="QB UNCERTAIN",1,0)-IF($AF15&lt;&gt;"",1,0)-IF($AG15&lt;&gt;"",1,0)+IF(CALC!$Z15&gt;=6,1,0))))</f>
        <v/>
      </c>
      <c r="AK15">
        <f>IF($A15="","",IF(ISNUMBER($Q15),"MARGIN OVR; ","")&amp;IF($G15&lt;&gt;"FBS","",IF(INDEX('TEAM RATINGS'!$P$6:$P$143,MATCH(CLEAN!$N15,'TEAM RATINGS'!$A$6:$A$143,0))="OVERRIDE","AWAY RATING OVR; ",""))&amp;IF($H15&lt;&gt;"FBS","",IF(INDEX('TEAM RATINGS'!$P$6:$P$143,MATCH(CLEAN!$P15,'TEAM RATINGS'!$A$6:$A$143,0))="OVERRIDE","HOME RATING OVR; ","")))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6:Z15"/>
  <sheetViews>
    <sheetView workbookViewId="0">
      <selection activeCell="A1" sqref="A1"/>
    </sheetView>
  </sheetViews>
  <sheetFormatPr baseColWidth="8" defaultRowHeight="15"/>
  <sheetData>
    <row r="6">
      <c r="A6">
        <f>IF(ENGINE!$A6="","",ENGINE!$B6)</f>
        <v/>
      </c>
      <c r="B6">
        <f>IF(ENGINE!$A6="","",ENGINE!$C6)</f>
        <v/>
      </c>
      <c r="C6">
        <f>IF(ENGINE!$A6="","",ENGINE!$D6&amp;" @ "&amp;ENGINE!$E6)</f>
        <v/>
      </c>
      <c r="D6">
        <f>IF(ENGINE!$A6="","",IF(ENGINE!$H6&lt;&gt;"FBS","FCS",INDEX('TEAM RATINGS'!$C$6:$C$143,MATCH(CLEAN!$P6,'TEAM RATINGS'!$A$6:$A$143,0))))</f>
        <v/>
      </c>
      <c r="E6">
        <f>IF(ENGINE!$A6="","",IF(ENGINE!$AG6&lt;&gt;"","FBS v FCS","FBS v FBS"))</f>
        <v/>
      </c>
      <c r="F6">
        <f>IF(ENGINE!$A6="","",IF(IF(ENGINE!$G6&lt;&gt;"FBS",0,COUNTIF(SETTINGS!$E$37:$E$48,INDEX('TEAM RATINGS'!$C$6:$C$143,MATCH(CLEAN!$N6,'TEAM RATINGS'!$A$6:$A$143,0))))+IF(ENGINE!$H6&lt;&gt;"FBS",0,COUNTIF(SETTINGS!$E$37:$E$48,INDEX('TEAM RATINGS'!$C$6:$C$143,MATCH(CLEAN!$P6,'TEAM RATINGS'!$A$6:$A$143,0))))&gt;0,"Y","N"))</f>
        <v/>
      </c>
      <c r="G6">
        <f>IF(ENGINE!$A6="","",IF(CALC!$L6="","PENDING",IF(CALC!$N6="","PENDING",CALC!$M6&amp;" -"&amp;TEXT(ABS(INDEX('MARKET LINES'!$D$6:$D$1005,CALC!$L6)),"0.0"))))</f>
        <v/>
      </c>
      <c r="H6">
        <f>IF(ENGINE!$A6="","",ENGINE!$S6)</f>
        <v/>
      </c>
      <c r="I6">
        <f>IF(ENGINE!$A6="","",ENGINE!$V6)</f>
        <v/>
      </c>
      <c r="J6">
        <f>IF(ENGINE!$A6="","",ENGINE!$W6)</f>
        <v/>
      </c>
      <c r="K6">
        <f>IF(ENGINE!$A6="","",ENGINE!$X6)</f>
        <v/>
      </c>
      <c r="L6">
        <f>IF(ENGINE!$A6="","",ENGINE!$Z6)</f>
        <v/>
      </c>
      <c r="M6">
        <f>IF(ENGINE!$A6="","",IF(ENGINE!$Y6="","NOT AVAILABLE",ENGINE!$Y6))</f>
        <v/>
      </c>
      <c r="N6">
        <f>IF(ENGINE!$A6="","",ENGINE!$AA6)</f>
        <v/>
      </c>
      <c r="O6">
        <f>IF(ENGINE!$A6="","",ENGINE!$AB6)</f>
        <v/>
      </c>
      <c r="P6">
        <f>IF(ENGINE!$A6="","",ENGINE!$AC6)</f>
        <v/>
      </c>
      <c r="Q6">
        <f>IF(ENGINE!$A6="","",ENGINE!$AD6)</f>
        <v/>
      </c>
      <c r="R6">
        <f>IF(ENGINE!$A6="","",ENGINE!$AE6)</f>
        <v/>
      </c>
      <c r="S6">
        <f>IF(ENGINE!$A6="","",ENGINE!$AF6)</f>
        <v/>
      </c>
      <c r="T6">
        <f>IF(ENGINE!$A6="","",ENGINE!$AG6)</f>
        <v/>
      </c>
      <c r="U6">
        <f>IF(ENGINE!$A6="","",ENGINE!$AI6)</f>
        <v/>
      </c>
      <c r="V6">
        <f>IF(ENGINE!$A6="","",IF(OR(ENGINE!$V6="",ENGINE!$AI6&lt;&gt;"READY"),0,ABS(ENGINE!$V6)+IF(ENGINE!$X6="BET",10,IF(ENGINE!$X6="INVESTIGATE",5,IF(ENGINE!$X6="LEAN",2,0)))))</f>
        <v/>
      </c>
      <c r="W6">
        <f>IF(OR(ENGINE!$A6="",$V6=0),"",RANK($V6,$V$6:$V$1005))</f>
        <v/>
      </c>
      <c r="X6">
        <f>IF(ENGINE!$A6="","",ENGINE!$AK6)</f>
        <v/>
      </c>
      <c r="Y6">
        <f>IF(ENGINE!$A6="","",ENGINE!$AJ6)</f>
        <v/>
      </c>
      <c r="Z6">
        <f>IF(ENGINE!$A6="","",ENGINE!$A6)</f>
        <v/>
      </c>
    </row>
    <row r="8">
      <c r="A8">
        <f>IF(ENGINE!$A8="","",ENGINE!$B8)</f>
        <v/>
      </c>
      <c r="B8">
        <f>IF(ENGINE!$A8="","",ENGINE!$C8)</f>
        <v/>
      </c>
      <c r="C8">
        <f>IF(ENGINE!$A8="","",ENGINE!$D8&amp;" @ "&amp;ENGINE!$E8)</f>
        <v/>
      </c>
      <c r="D8">
        <f>IF(ENGINE!$A8="","",IF(ENGINE!$H8&lt;&gt;"FBS","FCS",INDEX('TEAM RATINGS'!$C$6:$C$143,MATCH(CLEAN!$P8,'TEAM RATINGS'!$A$6:$A$143,0))))</f>
        <v/>
      </c>
      <c r="E8">
        <f>IF(ENGINE!$A8="","",IF(ENGINE!$AG8&lt;&gt;"","FBS v FCS","FBS v FBS"))</f>
        <v/>
      </c>
      <c r="F8">
        <f>IF(ENGINE!$A8="","",IF(IF(ENGINE!$G8&lt;&gt;"FBS",0,COUNTIF(SETTINGS!$E$37:$E$48,INDEX('TEAM RATINGS'!$C$6:$C$143,MATCH(CLEAN!$N8,'TEAM RATINGS'!$A$6:$A$143,0))))+IF(ENGINE!$H8&lt;&gt;"FBS",0,COUNTIF(SETTINGS!$E$37:$E$48,INDEX('TEAM RATINGS'!$C$6:$C$143,MATCH(CLEAN!$P8,'TEAM RATINGS'!$A$6:$A$143,0))))&gt;0,"Y","N"))</f>
        <v/>
      </c>
      <c r="G8">
        <f>IF(ENGINE!$A8="","",IF(CALC!$L8="","PENDING",IF(CALC!$N8="","PENDING",CALC!$M8&amp;" -"&amp;TEXT(ABS(INDEX('MARKET LINES'!$D$6:$D$1005,CALC!$L8)),"0.0"))))</f>
        <v/>
      </c>
      <c r="H8">
        <f>IF(ENGINE!$A8="","",ENGINE!$S8)</f>
        <v/>
      </c>
      <c r="I8">
        <f>IF(ENGINE!$A8="","",ENGINE!$V8)</f>
        <v/>
      </c>
      <c r="J8">
        <f>IF(ENGINE!$A8="","",ENGINE!$W8)</f>
        <v/>
      </c>
      <c r="K8">
        <f>IF(ENGINE!$A8="","",ENGINE!$X8)</f>
        <v/>
      </c>
      <c r="L8">
        <f>IF(ENGINE!$A8="","",ENGINE!$Z8)</f>
        <v/>
      </c>
      <c r="M8">
        <f>IF(ENGINE!$A8="","",IF(ENGINE!$Y8="","NOT AVAILABLE",ENGINE!$Y8))</f>
        <v/>
      </c>
      <c r="N8">
        <f>IF(ENGINE!$A8="","",ENGINE!$AA8)</f>
        <v/>
      </c>
      <c r="O8">
        <f>IF(ENGINE!$A8="","",ENGINE!$AB8)</f>
        <v/>
      </c>
      <c r="P8">
        <f>IF(ENGINE!$A8="","",ENGINE!$AC8)</f>
        <v/>
      </c>
      <c r="Q8">
        <f>IF(ENGINE!$A8="","",ENGINE!$AD8)</f>
        <v/>
      </c>
      <c r="R8">
        <f>IF(ENGINE!$A8="","",ENGINE!$AE8)</f>
        <v/>
      </c>
      <c r="S8">
        <f>IF(ENGINE!$A8="","",ENGINE!$AF8)</f>
        <v/>
      </c>
      <c r="T8">
        <f>IF(ENGINE!$A8="","",ENGINE!$AG8)</f>
        <v/>
      </c>
      <c r="U8">
        <f>IF(ENGINE!$A8="","",ENGINE!$AI8)</f>
        <v/>
      </c>
      <c r="V8">
        <f>IF(ENGINE!$A8="","",IF(OR(ENGINE!$V8="",ENGINE!$AI8&lt;&gt;"READY"),0,ABS(ENGINE!$V8)+IF(ENGINE!$X8="BET",10,IF(ENGINE!$X8="INVESTIGATE",5,IF(ENGINE!$X8="LEAN",2,0)))))</f>
        <v/>
      </c>
      <c r="W8">
        <f>IF(OR(ENGINE!$A8="",$V8=0),"",RANK($V8,$V$6:$V$1005))</f>
        <v/>
      </c>
      <c r="X8">
        <f>IF(ENGINE!$A8="","",ENGINE!$AK8)</f>
        <v/>
      </c>
      <c r="Y8">
        <f>IF(ENGINE!$A8="","",ENGINE!$AJ8)</f>
        <v/>
      </c>
      <c r="Z8">
        <f>IF(ENGINE!$A8="","",ENGINE!$A8)</f>
        <v/>
      </c>
    </row>
    <row r="9">
      <c r="A9">
        <f>IF(ENGINE!$A9="","",ENGINE!$B9)</f>
        <v/>
      </c>
      <c r="B9">
        <f>IF(ENGINE!$A9="","",ENGINE!$C9)</f>
        <v/>
      </c>
      <c r="C9">
        <f>IF(ENGINE!$A9="","",ENGINE!$D9&amp;" @ "&amp;ENGINE!$E9)</f>
        <v/>
      </c>
      <c r="D9">
        <f>IF(ENGINE!$A9="","",IF(ENGINE!$H9&lt;&gt;"FBS","FCS",INDEX('TEAM RATINGS'!$C$6:$C$143,MATCH(CLEAN!$P9,'TEAM RATINGS'!$A$6:$A$143,0))))</f>
        <v/>
      </c>
      <c r="E9">
        <f>IF(ENGINE!$A9="","",IF(ENGINE!$AG9&lt;&gt;"","FBS v FCS","FBS v FBS"))</f>
        <v/>
      </c>
      <c r="F9">
        <f>IF(ENGINE!$A9="","",IF(IF(ENGINE!$G9&lt;&gt;"FBS",0,COUNTIF(SETTINGS!$E$37:$E$48,INDEX('TEAM RATINGS'!$C$6:$C$143,MATCH(CLEAN!$N9,'TEAM RATINGS'!$A$6:$A$143,0))))+IF(ENGINE!$H9&lt;&gt;"FBS",0,COUNTIF(SETTINGS!$E$37:$E$48,INDEX('TEAM RATINGS'!$C$6:$C$143,MATCH(CLEAN!$P9,'TEAM RATINGS'!$A$6:$A$143,0))))&gt;0,"Y","N"))</f>
        <v/>
      </c>
      <c r="G9">
        <f>IF(ENGINE!$A9="","",IF(CALC!$L9="","PENDING",IF(CALC!$N9="","PENDING",CALC!$M9&amp;" -"&amp;TEXT(ABS(INDEX('MARKET LINES'!$D$6:$D$1005,CALC!$L9)),"0.0"))))</f>
        <v/>
      </c>
      <c r="H9">
        <f>IF(ENGINE!$A9="","",ENGINE!$S9)</f>
        <v/>
      </c>
      <c r="I9">
        <f>IF(ENGINE!$A9="","",ENGINE!$V9)</f>
        <v/>
      </c>
      <c r="J9">
        <f>IF(ENGINE!$A9="","",ENGINE!$W9)</f>
        <v/>
      </c>
      <c r="K9">
        <f>IF(ENGINE!$A9="","",ENGINE!$X9)</f>
        <v/>
      </c>
      <c r="L9">
        <f>IF(ENGINE!$A9="","",ENGINE!$Z9)</f>
        <v/>
      </c>
      <c r="M9">
        <f>IF(ENGINE!$A9="","",IF(ENGINE!$Y9="","NOT AVAILABLE",ENGINE!$Y9))</f>
        <v/>
      </c>
      <c r="N9">
        <f>IF(ENGINE!$A9="","",ENGINE!$AA9)</f>
        <v/>
      </c>
      <c r="O9">
        <f>IF(ENGINE!$A9="","",ENGINE!$AB9)</f>
        <v/>
      </c>
      <c r="P9">
        <f>IF(ENGINE!$A9="","",ENGINE!$AC9)</f>
        <v/>
      </c>
      <c r="Q9">
        <f>IF(ENGINE!$A9="","",ENGINE!$AD9)</f>
        <v/>
      </c>
      <c r="R9">
        <f>IF(ENGINE!$A9="","",ENGINE!$AE9)</f>
        <v/>
      </c>
      <c r="S9">
        <f>IF(ENGINE!$A9="","",ENGINE!$AF9)</f>
        <v/>
      </c>
      <c r="T9">
        <f>IF(ENGINE!$A9="","",ENGINE!$AG9)</f>
        <v/>
      </c>
      <c r="U9">
        <f>IF(ENGINE!$A9="","",ENGINE!$AI9)</f>
        <v/>
      </c>
      <c r="V9">
        <f>IF(ENGINE!$A9="","",IF(OR(ENGINE!$V9="",ENGINE!$AI9&lt;&gt;"READY"),0,ABS(ENGINE!$V9)+IF(ENGINE!$X9="BET",10,IF(ENGINE!$X9="INVESTIGATE",5,IF(ENGINE!$X9="LEAN",2,0)))))</f>
        <v/>
      </c>
      <c r="W9">
        <f>IF(OR(ENGINE!$A9="",$V9=0),"",RANK($V9,$V$6:$V$1005))</f>
        <v/>
      </c>
      <c r="X9">
        <f>IF(ENGINE!$A9="","",ENGINE!$AK9)</f>
        <v/>
      </c>
      <c r="Y9">
        <f>IF(ENGINE!$A9="","",ENGINE!$AJ9)</f>
        <v/>
      </c>
      <c r="Z9">
        <f>IF(ENGINE!$A9="","",ENGINE!$A9)</f>
        <v/>
      </c>
    </row>
    <row r="10">
      <c r="A10">
        <f>IF(ENGINE!$A10="","",ENGINE!$B10)</f>
        <v/>
      </c>
      <c r="B10">
        <f>IF(ENGINE!$A10="","",ENGINE!$C10)</f>
        <v/>
      </c>
      <c r="C10">
        <f>IF(ENGINE!$A10="","",ENGINE!$D10&amp;" @ "&amp;ENGINE!$E10)</f>
        <v/>
      </c>
      <c r="D10">
        <f>IF(ENGINE!$A10="","",IF(ENGINE!$H10&lt;&gt;"FBS","FCS",INDEX('TEAM RATINGS'!$C$6:$C$143,MATCH(CLEAN!$P10,'TEAM RATINGS'!$A$6:$A$143,0))))</f>
        <v/>
      </c>
      <c r="E10">
        <f>IF(ENGINE!$A10="","",IF(ENGINE!$AG10&lt;&gt;"","FBS v FCS","FBS v FBS"))</f>
        <v/>
      </c>
      <c r="F10">
        <f>IF(ENGINE!$A10="","",IF(IF(ENGINE!$G10&lt;&gt;"FBS",0,COUNTIF(SETTINGS!$E$37:$E$48,INDEX('TEAM RATINGS'!$C$6:$C$143,MATCH(CLEAN!$N10,'TEAM RATINGS'!$A$6:$A$143,0))))+IF(ENGINE!$H10&lt;&gt;"FBS",0,COUNTIF(SETTINGS!$E$37:$E$48,INDEX('TEAM RATINGS'!$C$6:$C$143,MATCH(CLEAN!$P10,'TEAM RATINGS'!$A$6:$A$143,0))))&gt;0,"Y","N"))</f>
        <v/>
      </c>
      <c r="G10">
        <f>IF(ENGINE!$A10="","",IF(CALC!$L10="","PENDING",IF(CALC!$N10="","PENDING",CALC!$M10&amp;" -"&amp;TEXT(ABS(INDEX('MARKET LINES'!$D$6:$D$1005,CALC!$L10)),"0.0"))))</f>
        <v/>
      </c>
      <c r="H10">
        <f>IF(ENGINE!$A10="","",ENGINE!$S10)</f>
        <v/>
      </c>
      <c r="I10">
        <f>IF(ENGINE!$A10="","",ENGINE!$V10)</f>
        <v/>
      </c>
      <c r="J10">
        <f>IF(ENGINE!$A10="","",ENGINE!$W10)</f>
        <v/>
      </c>
      <c r="K10">
        <f>IF(ENGINE!$A10="","",ENGINE!$X10)</f>
        <v/>
      </c>
      <c r="L10">
        <f>IF(ENGINE!$A10="","",ENGINE!$Z10)</f>
        <v/>
      </c>
      <c r="M10">
        <f>IF(ENGINE!$A10="","",IF(ENGINE!$Y10="","NOT AVAILABLE",ENGINE!$Y10))</f>
        <v/>
      </c>
      <c r="N10">
        <f>IF(ENGINE!$A10="","",ENGINE!$AA10)</f>
        <v/>
      </c>
      <c r="O10">
        <f>IF(ENGINE!$A10="","",ENGINE!$AB10)</f>
        <v/>
      </c>
      <c r="P10">
        <f>IF(ENGINE!$A10="","",ENGINE!$AC10)</f>
        <v/>
      </c>
      <c r="Q10">
        <f>IF(ENGINE!$A10="","",ENGINE!$AD10)</f>
        <v/>
      </c>
      <c r="R10">
        <f>IF(ENGINE!$A10="","",ENGINE!$AE10)</f>
        <v/>
      </c>
      <c r="S10">
        <f>IF(ENGINE!$A10="","",ENGINE!$AF10)</f>
        <v/>
      </c>
      <c r="T10">
        <f>IF(ENGINE!$A10="","",ENGINE!$AG10)</f>
        <v/>
      </c>
      <c r="U10">
        <f>IF(ENGINE!$A10="","",ENGINE!$AI10)</f>
        <v/>
      </c>
      <c r="V10">
        <f>IF(ENGINE!$A10="","",IF(OR(ENGINE!$V10="",ENGINE!$AI10&lt;&gt;"READY"),0,ABS(ENGINE!$V10)+IF(ENGINE!$X10="BET",10,IF(ENGINE!$X10="INVESTIGATE",5,IF(ENGINE!$X10="LEAN",2,0)))))</f>
        <v/>
      </c>
      <c r="W10">
        <f>IF(OR(ENGINE!$A10="",$V10=0),"",RANK($V10,$V$6:$V$1005))</f>
        <v/>
      </c>
      <c r="X10">
        <f>IF(ENGINE!$A10="","",ENGINE!$AK10)</f>
        <v/>
      </c>
      <c r="Y10">
        <f>IF(ENGINE!$A10="","",ENGINE!$AJ10)</f>
        <v/>
      </c>
      <c r="Z10">
        <f>IF(ENGINE!$A10="","",ENGINE!$A10)</f>
        <v/>
      </c>
    </row>
    <row r="11">
      <c r="A11">
        <f>IF(ENGINE!$A11="","",ENGINE!$B11)</f>
        <v/>
      </c>
      <c r="B11">
        <f>IF(ENGINE!$A11="","",ENGINE!$C11)</f>
        <v/>
      </c>
      <c r="C11">
        <f>IF(ENGINE!$A11="","",ENGINE!$D11&amp;" @ "&amp;ENGINE!$E11)</f>
        <v/>
      </c>
      <c r="D11">
        <f>IF(ENGINE!$A11="","",IF(ENGINE!$H11&lt;&gt;"FBS","FCS",INDEX('TEAM RATINGS'!$C$6:$C$143,MATCH(CLEAN!$P11,'TEAM RATINGS'!$A$6:$A$143,0))))</f>
        <v/>
      </c>
      <c r="E11">
        <f>IF(ENGINE!$A11="","",IF(ENGINE!$AG11&lt;&gt;"","FBS v FCS","FBS v FBS"))</f>
        <v/>
      </c>
      <c r="F11">
        <f>IF(ENGINE!$A11="","",IF(IF(ENGINE!$G11&lt;&gt;"FBS",0,COUNTIF(SETTINGS!$E$37:$E$48,INDEX('TEAM RATINGS'!$C$6:$C$143,MATCH(CLEAN!$N11,'TEAM RATINGS'!$A$6:$A$143,0))))+IF(ENGINE!$H11&lt;&gt;"FBS",0,COUNTIF(SETTINGS!$E$37:$E$48,INDEX('TEAM RATINGS'!$C$6:$C$143,MATCH(CLEAN!$P11,'TEAM RATINGS'!$A$6:$A$143,0))))&gt;0,"Y","N"))</f>
        <v/>
      </c>
      <c r="G11">
        <f>IF(ENGINE!$A11="","",IF(CALC!$L11="","PENDING",IF(CALC!$N11="","PENDING",CALC!$M11&amp;" -"&amp;TEXT(ABS(INDEX('MARKET LINES'!$D$6:$D$1005,CALC!$L11)),"0.0"))))</f>
        <v/>
      </c>
      <c r="H11">
        <f>IF(ENGINE!$A11="","",ENGINE!$S11)</f>
        <v/>
      </c>
      <c r="I11">
        <f>IF(ENGINE!$A11="","",ENGINE!$V11)</f>
        <v/>
      </c>
      <c r="J11">
        <f>IF(ENGINE!$A11="","",ENGINE!$W11)</f>
        <v/>
      </c>
      <c r="K11">
        <f>IF(ENGINE!$A11="","",ENGINE!$X11)</f>
        <v/>
      </c>
      <c r="L11">
        <f>IF(ENGINE!$A11="","",ENGINE!$Z11)</f>
        <v/>
      </c>
      <c r="M11">
        <f>IF(ENGINE!$A11="","",IF(ENGINE!$Y11="","NOT AVAILABLE",ENGINE!$Y11))</f>
        <v/>
      </c>
      <c r="N11">
        <f>IF(ENGINE!$A11="","",ENGINE!$AA11)</f>
        <v/>
      </c>
      <c r="O11">
        <f>IF(ENGINE!$A11="","",ENGINE!$AB11)</f>
        <v/>
      </c>
      <c r="P11">
        <f>IF(ENGINE!$A11="","",ENGINE!$AC11)</f>
        <v/>
      </c>
      <c r="Q11">
        <f>IF(ENGINE!$A11="","",ENGINE!$AD11)</f>
        <v/>
      </c>
      <c r="R11">
        <f>IF(ENGINE!$A11="","",ENGINE!$AE11)</f>
        <v/>
      </c>
      <c r="S11">
        <f>IF(ENGINE!$A11="","",ENGINE!$AF11)</f>
        <v/>
      </c>
      <c r="T11">
        <f>IF(ENGINE!$A11="","",ENGINE!$AG11)</f>
        <v/>
      </c>
      <c r="U11">
        <f>IF(ENGINE!$A11="","",ENGINE!$AI11)</f>
        <v/>
      </c>
      <c r="V11">
        <f>IF(ENGINE!$A11="","",IF(OR(ENGINE!$V11="",ENGINE!$AI11&lt;&gt;"READY"),0,ABS(ENGINE!$V11)+IF(ENGINE!$X11="BET",10,IF(ENGINE!$X11="INVESTIGATE",5,IF(ENGINE!$X11="LEAN",2,0)))))</f>
        <v/>
      </c>
      <c r="W11">
        <f>IF(OR(ENGINE!$A11="",$V11=0),"",RANK($V11,$V$6:$V$1005))</f>
        <v/>
      </c>
      <c r="X11">
        <f>IF(ENGINE!$A11="","",ENGINE!$AK11)</f>
        <v/>
      </c>
      <c r="Y11">
        <f>IF(ENGINE!$A11="","",ENGINE!$AJ11)</f>
        <v/>
      </c>
      <c r="Z11">
        <f>IF(ENGINE!$A11="","",ENGINE!$A11)</f>
        <v/>
      </c>
    </row>
    <row r="14">
      <c r="A14">
        <f>IF(ENGINE!$A14="","",ENGINE!$B14)</f>
        <v/>
      </c>
      <c r="B14">
        <f>IF(ENGINE!$A14="","",ENGINE!$C14)</f>
        <v/>
      </c>
      <c r="C14">
        <f>IF(ENGINE!$A14="","",ENGINE!$D14&amp;" @ "&amp;ENGINE!$E14)</f>
        <v/>
      </c>
      <c r="D14">
        <f>IF(ENGINE!$A14="","",IF(ENGINE!$H14&lt;&gt;"FBS","FCS",INDEX('TEAM RATINGS'!$C$6:$C$143,MATCH(CLEAN!$P14,'TEAM RATINGS'!$A$6:$A$143,0))))</f>
        <v/>
      </c>
      <c r="E14">
        <f>IF(ENGINE!$A14="","",IF(ENGINE!$AG14&lt;&gt;"","FBS v FCS","FBS v FBS"))</f>
        <v/>
      </c>
      <c r="F14">
        <f>IF(ENGINE!$A14="","",IF(IF(ENGINE!$G14&lt;&gt;"FBS",0,COUNTIF(SETTINGS!$E$37:$E$48,INDEX('TEAM RATINGS'!$C$6:$C$143,MATCH(CLEAN!$N14,'TEAM RATINGS'!$A$6:$A$143,0))))+IF(ENGINE!$H14&lt;&gt;"FBS",0,COUNTIF(SETTINGS!$E$37:$E$48,INDEX('TEAM RATINGS'!$C$6:$C$143,MATCH(CLEAN!$P14,'TEAM RATINGS'!$A$6:$A$143,0))))&gt;0,"Y","N"))</f>
        <v/>
      </c>
      <c r="G14">
        <f>IF(ENGINE!$A14="","",IF(CALC!$L14="","PENDING",IF(CALC!$N14="","PENDING",CALC!$M14&amp;" -"&amp;TEXT(ABS(INDEX('MARKET LINES'!$D$6:$D$1005,CALC!$L14)),"0.0"))))</f>
        <v/>
      </c>
      <c r="H14">
        <f>IF(ENGINE!$A14="","",ENGINE!$S14)</f>
        <v/>
      </c>
      <c r="I14">
        <f>IF(ENGINE!$A14="","",ENGINE!$V14)</f>
        <v/>
      </c>
      <c r="J14">
        <f>IF(ENGINE!$A14="","",ENGINE!$W14)</f>
        <v/>
      </c>
      <c r="K14">
        <f>IF(ENGINE!$A14="","",ENGINE!$X14)</f>
        <v/>
      </c>
      <c r="L14">
        <f>IF(ENGINE!$A14="","",ENGINE!$Z14)</f>
        <v/>
      </c>
      <c r="M14">
        <f>IF(ENGINE!$A14="","",IF(ENGINE!$Y14="","NOT AVAILABLE",ENGINE!$Y14))</f>
        <v/>
      </c>
      <c r="N14">
        <f>IF(ENGINE!$A14="","",ENGINE!$AA14)</f>
        <v/>
      </c>
      <c r="O14">
        <f>IF(ENGINE!$A14="","",ENGINE!$AB14)</f>
        <v/>
      </c>
      <c r="P14">
        <f>IF(ENGINE!$A14="","",ENGINE!$AC14)</f>
        <v/>
      </c>
      <c r="Q14">
        <f>IF(ENGINE!$A14="","",ENGINE!$AD14)</f>
        <v/>
      </c>
      <c r="R14">
        <f>IF(ENGINE!$A14="","",ENGINE!$AE14)</f>
        <v/>
      </c>
      <c r="S14">
        <f>IF(ENGINE!$A14="","",ENGINE!$AF14)</f>
        <v/>
      </c>
      <c r="T14">
        <f>IF(ENGINE!$A14="","",ENGINE!$AG14)</f>
        <v/>
      </c>
      <c r="U14">
        <f>IF(ENGINE!$A14="","",ENGINE!$AI14)</f>
        <v/>
      </c>
      <c r="V14">
        <f>IF(ENGINE!$A14="","",IF(OR(ENGINE!$V14="",ENGINE!$AI14&lt;&gt;"READY"),0,ABS(ENGINE!$V14)+IF(ENGINE!$X14="BET",10,IF(ENGINE!$X14="INVESTIGATE",5,IF(ENGINE!$X14="LEAN",2,0)))))</f>
        <v/>
      </c>
      <c r="W14">
        <f>IF(OR(ENGINE!$A14="",$V14=0),"",RANK($V14,$V$6:$V$1005))</f>
        <v/>
      </c>
      <c r="X14">
        <f>IF(ENGINE!$A14="","",ENGINE!$AK14)</f>
        <v/>
      </c>
      <c r="Y14">
        <f>IF(ENGINE!$A14="","",ENGINE!$AJ14)</f>
        <v/>
      </c>
      <c r="Z14">
        <f>IF(ENGINE!$A14="","",ENGINE!$A14)</f>
        <v/>
      </c>
    </row>
    <row r="15">
      <c r="A15">
        <f>IF(ENGINE!$A15="","",ENGINE!$B15)</f>
        <v/>
      </c>
      <c r="B15">
        <f>IF(ENGINE!$A15="","",ENGINE!$C15)</f>
        <v/>
      </c>
      <c r="C15">
        <f>IF(ENGINE!$A15="","",ENGINE!$D15&amp;" @ "&amp;ENGINE!$E15)</f>
        <v/>
      </c>
      <c r="D15">
        <f>IF(ENGINE!$A15="","",IF(ENGINE!$H15&lt;&gt;"FBS","FCS",INDEX('TEAM RATINGS'!$C$6:$C$143,MATCH(CLEAN!$P15,'TEAM RATINGS'!$A$6:$A$143,0))))</f>
        <v/>
      </c>
      <c r="E15">
        <f>IF(ENGINE!$A15="","",IF(ENGINE!$AG15&lt;&gt;"","FBS v FCS","FBS v FBS"))</f>
        <v/>
      </c>
      <c r="F15">
        <f>IF(ENGINE!$A15="","",IF(IF(ENGINE!$G15&lt;&gt;"FBS",0,COUNTIF(SETTINGS!$E$37:$E$48,INDEX('TEAM RATINGS'!$C$6:$C$143,MATCH(CLEAN!$N15,'TEAM RATINGS'!$A$6:$A$143,0))))+IF(ENGINE!$H15&lt;&gt;"FBS",0,COUNTIF(SETTINGS!$E$37:$E$48,INDEX('TEAM RATINGS'!$C$6:$C$143,MATCH(CLEAN!$P15,'TEAM RATINGS'!$A$6:$A$143,0))))&gt;0,"Y","N"))</f>
        <v/>
      </c>
      <c r="G15">
        <f>IF(ENGINE!$A15="","",IF(CALC!$L15="","PENDING",IF(CALC!$N15="","PENDING",CALC!$M15&amp;" -"&amp;TEXT(ABS(INDEX('MARKET LINES'!$D$6:$D$1005,CALC!$L15)),"0.0"))))</f>
        <v/>
      </c>
      <c r="H15">
        <f>IF(ENGINE!$A15="","",ENGINE!$S15)</f>
        <v/>
      </c>
      <c r="I15">
        <f>IF(ENGINE!$A15="","",ENGINE!$V15)</f>
        <v/>
      </c>
      <c r="J15">
        <f>IF(ENGINE!$A15="","",ENGINE!$W15)</f>
        <v/>
      </c>
      <c r="K15">
        <f>IF(ENGINE!$A15="","",ENGINE!$X15)</f>
        <v/>
      </c>
      <c r="L15">
        <f>IF(ENGINE!$A15="","",ENGINE!$Z15)</f>
        <v/>
      </c>
      <c r="M15">
        <f>IF(ENGINE!$A15="","",IF(ENGINE!$Y15="","NOT AVAILABLE",ENGINE!$Y15))</f>
        <v/>
      </c>
      <c r="N15">
        <f>IF(ENGINE!$A15="","",ENGINE!$AA15)</f>
        <v/>
      </c>
      <c r="O15">
        <f>IF(ENGINE!$A15="","",ENGINE!$AB15)</f>
        <v/>
      </c>
      <c r="P15">
        <f>IF(ENGINE!$A15="","",ENGINE!$AC15)</f>
        <v/>
      </c>
      <c r="Q15">
        <f>IF(ENGINE!$A15="","",ENGINE!$AD15)</f>
        <v/>
      </c>
      <c r="R15">
        <f>IF(ENGINE!$A15="","",ENGINE!$AE15)</f>
        <v/>
      </c>
      <c r="S15">
        <f>IF(ENGINE!$A15="","",ENGINE!$AF15)</f>
        <v/>
      </c>
      <c r="T15">
        <f>IF(ENGINE!$A15="","",ENGINE!$AG15)</f>
        <v/>
      </c>
      <c r="U15">
        <f>IF(ENGINE!$A15="","",ENGINE!$AI15)</f>
        <v/>
      </c>
      <c r="V15">
        <f>IF(ENGINE!$A15="","",IF(OR(ENGINE!$V15="",ENGINE!$AI15&lt;&gt;"READY"),0,ABS(ENGINE!$V15)+IF(ENGINE!$X15="BET",10,IF(ENGINE!$X15="INVESTIGATE",5,IF(ENGINE!$X15="LEAN",2,0)))))</f>
        <v/>
      </c>
      <c r="W15">
        <f>IF(OR(ENGINE!$A15="",$V15=0),"",RANK($V15,$V$6:$V$1005))</f>
        <v/>
      </c>
      <c r="X15">
        <f>IF(ENGINE!$A15="","",ENGINE!$AK15)</f>
        <v/>
      </c>
      <c r="Y15">
        <f>IF(ENGINE!$A15="","",ENGINE!$AJ15)</f>
        <v/>
      </c>
      <c r="Z15">
        <f>IF(ENGINE!$A15="","",ENGINE!$A15)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6:R15"/>
  <sheetViews>
    <sheetView workbookViewId="0">
      <selection activeCell="A1" sqref="A1"/>
    </sheetView>
  </sheetViews>
  <sheetFormatPr baseColWidth="8" defaultRowHeight="15"/>
  <sheetData>
    <row r="6">
      <c r="B6">
        <f>IF($A6="","",IF(ISNA(MATCH($A6,CLEAN!$A$6:$A$1005,0)),"GAMEID NOT IN SCHEDULE",INDEX(CLEAN!$AF$6:$AF$1005,MATCH($A6,CLEAN!$A$6:$A$1005,0))&amp;" @ "&amp;INDEX(CLEAN!$AG$6:$AG$1005,MATCH($A6,CLEAN!$A$6:$A$1005,0))))</f>
        <v/>
      </c>
      <c r="O6">
        <f>IF($C6="","",IF(ISNA(MATCH($C6,'TEAM MAP'!$H$6:$H$605,0)),$C6,INDEX('TEAM MAP'!$I$6:$I$605,MATCH($C6,'TEAM MAP'!$H$6:$H$605,0))))</f>
        <v/>
      </c>
      <c r="P6">
        <f>IF(OR($A6="",$O6=""),"",IF(ISNA(MATCH($A6,CLEAN!$A$6:$A$1005,0)),"NO GAME",IF(OR($O6=INDEX(CLEAN!$AF$6:$AF$1005,MATCH($A6,CLEAN!$A$6:$A$1005,0)),$O6=INDEX(CLEAN!$AG$6:$AG$1005,MATCH($A6,CLEAN!$A$6:$A$1005,0))),"OK","INVALID")))</f>
        <v/>
      </c>
      <c r="Q6">
        <f>IF($A6="","",IF($P6="INVALID","INVALID FAVORITE; ","")&amp;IF($P6="NO GAME","GAMEID NOT IN SCHEDULE; ","")&amp;IF($D6="","SPREAD MISSING; ","")&amp;IF($E6="","TOTAL MISSING; ","")&amp;IF($G6="","DATE MISSING; ","")&amp;IF($F6="","SOURCE MISSING; ","")&amp;IF($R6&gt;1,"DUPLICATE GAMEID ROW; ","")&amp;IF(AND($G6&lt;&gt;"",SETTINGS!$B$5&lt;&gt;"",SETTINGS!$B$5-$G6&gt;SETTINGS!$B$13),"STALE; ",""))</f>
        <v/>
      </c>
      <c r="R6">
        <f>IF($A6="","",COUNTIF($A$6:$A$1005,$A6))</f>
        <v/>
      </c>
    </row>
    <row r="8">
      <c r="A8" t="inlineStr">
        <is>
          <t>401858202</t>
        </is>
      </c>
      <c r="B8">
        <f>IF($A8="","",IF(ISNA(MATCH($A8,CLEAN!$A$6:$A$1005,0)),"GAMEID NOT IN SCHEDULE",INDEX(CLEAN!$AF$6:$AF$1005,MATCH($A8,CLEAN!$A$6:$A$1005,0))&amp;" @ "&amp;INDEX(CLEAN!$AG$6:$AG$1005,MATCH($A8,CLEAN!$A$6:$A$1005,0))))</f>
        <v/>
      </c>
      <c r="C8" t="inlineStr">
        <is>
          <t>UVA</t>
        </is>
      </c>
      <c r="D8" t="n">
        <v>6.5</v>
      </c>
      <c r="E8" t="n">
        <v>51.5</v>
      </c>
      <c r="F8" t="inlineStr">
        <is>
          <t>TEST ONLY — NOT REAL DATA</t>
        </is>
      </c>
      <c r="G8" s="2" t="n">
        <v>46268</v>
      </c>
      <c r="H8" t="inlineStr">
        <is>
          <t>TEST ONLY — NOT REAL DATA</t>
        </is>
      </c>
      <c r="O8">
        <f>IF($C8="","",IF(ISNA(MATCH($C8,'TEAM MAP'!$H$6:$H$605,0)),$C8,INDEX('TEAM MAP'!$I$6:$I$605,MATCH($C8,'TEAM MAP'!$H$6:$H$605,0))))</f>
        <v/>
      </c>
      <c r="P8">
        <f>IF(OR($A8="",$O8=""),"",IF(ISNA(MATCH($A8,CLEAN!$A$6:$A$1005,0)),"NO GAME",IF(OR($O8=INDEX(CLEAN!$AF$6:$AF$1005,MATCH($A8,CLEAN!$A$6:$A$1005,0)),$O8=INDEX(CLEAN!$AG$6:$AG$1005,MATCH($A8,CLEAN!$A$6:$A$1005,0))),"OK","INVALID")))</f>
        <v/>
      </c>
      <c r="Q8">
        <f>IF($A8="","",IF($P8="INVALID","INVALID FAVORITE; ","")&amp;IF($P8="NO GAME","GAMEID NOT IN SCHEDULE; ","")&amp;IF($D8="","SPREAD MISSING; ","")&amp;IF($E8="","TOTAL MISSING; ","")&amp;IF($G8="","DATE MISSING; ","")&amp;IF($F8="","SOURCE MISSING; ","")&amp;IF($R8&gt;1,"DUPLICATE GAMEID ROW; ","")&amp;IF(AND($G8&lt;&gt;"",SETTINGS!$B$5&lt;&gt;"",SETTINGS!$B$5-$G8&gt;SETTINGS!$B$13),"STALE; ",""))</f>
        <v/>
      </c>
      <c r="R8">
        <f>IF($A8="","",COUNTIF($A$6:$A$1005,$A8))</f>
        <v/>
      </c>
    </row>
    <row r="9">
      <c r="B9">
        <f>IF($A9="","",IF(ISNA(MATCH($A9,CLEAN!$A$6:$A$1005,0)),"GAMEID NOT IN SCHEDULE",INDEX(CLEAN!$AF$6:$AF$1005,MATCH($A9,CLEAN!$A$6:$A$1005,0))&amp;" @ "&amp;INDEX(CLEAN!$AG$6:$AG$1005,MATCH($A9,CLEAN!$A$6:$A$1005,0))))</f>
        <v/>
      </c>
      <c r="O9">
        <f>IF($C9="","",IF(ISNA(MATCH($C9,'TEAM MAP'!$H$6:$H$605,0)),$C9,INDEX('TEAM MAP'!$I$6:$I$605,MATCH($C9,'TEAM MAP'!$H$6:$H$605,0))))</f>
        <v/>
      </c>
      <c r="P9">
        <f>IF(OR($A9="",$O9=""),"",IF(ISNA(MATCH($A9,CLEAN!$A$6:$A$1005,0)),"NO GAME",IF(OR($O9=INDEX(CLEAN!$AF$6:$AF$1005,MATCH($A9,CLEAN!$A$6:$A$1005,0)),$O9=INDEX(CLEAN!$AG$6:$AG$1005,MATCH($A9,CLEAN!$A$6:$A$1005,0))),"OK","INVALID")))</f>
        <v/>
      </c>
      <c r="Q9">
        <f>IF($A9="","",IF($P9="INVALID","INVALID FAVORITE; ","")&amp;IF($P9="NO GAME","GAMEID NOT IN SCHEDULE; ","")&amp;IF($D9="","SPREAD MISSING; ","")&amp;IF($E9="","TOTAL MISSING; ","")&amp;IF($G9="","DATE MISSING; ","")&amp;IF($F9="","SOURCE MISSING; ","")&amp;IF($R9&gt;1,"DUPLICATE GAMEID ROW; ","")&amp;IF(AND($G9&lt;&gt;"",SETTINGS!$B$5&lt;&gt;"",SETTINGS!$B$5-$G9&gt;SETTINGS!$B$13),"STALE; ",""))</f>
        <v/>
      </c>
      <c r="R9">
        <f>IF($A9="","",COUNTIF($A$6:$A$1005,$A9))</f>
        <v/>
      </c>
    </row>
    <row r="10">
      <c r="B10">
        <f>IF($A10="","",IF(ISNA(MATCH($A10,CLEAN!$A$6:$A$1005,0)),"GAMEID NOT IN SCHEDULE",INDEX(CLEAN!$AF$6:$AF$1005,MATCH($A10,CLEAN!$A$6:$A$1005,0))&amp;" @ "&amp;INDEX(CLEAN!$AG$6:$AG$1005,MATCH($A10,CLEAN!$A$6:$A$1005,0))))</f>
        <v/>
      </c>
      <c r="O10">
        <f>IF($C10="","",IF(ISNA(MATCH($C10,'TEAM MAP'!$H$6:$H$605,0)),$C10,INDEX('TEAM MAP'!$I$6:$I$605,MATCH($C10,'TEAM MAP'!$H$6:$H$605,0))))</f>
        <v/>
      </c>
      <c r="P10">
        <f>IF(OR($A10="",$O10=""),"",IF(ISNA(MATCH($A10,CLEAN!$A$6:$A$1005,0)),"NO GAME",IF(OR($O10=INDEX(CLEAN!$AF$6:$AF$1005,MATCH($A10,CLEAN!$A$6:$A$1005,0)),$O10=INDEX(CLEAN!$AG$6:$AG$1005,MATCH($A10,CLEAN!$A$6:$A$1005,0))),"OK","INVALID")))</f>
        <v/>
      </c>
      <c r="Q10">
        <f>IF($A10="","",IF($P10="INVALID","INVALID FAVORITE; ","")&amp;IF($P10="NO GAME","GAMEID NOT IN SCHEDULE; ","")&amp;IF($D10="","SPREAD MISSING; ","")&amp;IF($E10="","TOTAL MISSING; ","")&amp;IF($G10="","DATE MISSING; ","")&amp;IF($F10="","SOURCE MISSING; ","")&amp;IF($R10&gt;1,"DUPLICATE GAMEID ROW; ","")&amp;IF(AND($G10&lt;&gt;"",SETTINGS!$B$5&lt;&gt;"",SETTINGS!$B$5-$G10&gt;SETTINGS!$B$13),"STALE; ",""))</f>
        <v/>
      </c>
      <c r="R10">
        <f>IF($A10="","",COUNTIF($A$6:$A$1005,$A10))</f>
        <v/>
      </c>
    </row>
    <row r="11">
      <c r="B11">
        <f>IF($A11="","",IF(ISNA(MATCH($A11,CLEAN!$A$6:$A$1005,0)),"GAMEID NOT IN SCHEDULE",INDEX(CLEAN!$AF$6:$AF$1005,MATCH($A11,CLEAN!$A$6:$A$1005,0))&amp;" @ "&amp;INDEX(CLEAN!$AG$6:$AG$1005,MATCH($A11,CLEAN!$A$6:$A$1005,0))))</f>
        <v/>
      </c>
      <c r="O11">
        <f>IF($C11="","",IF(ISNA(MATCH($C11,'TEAM MAP'!$H$6:$H$605,0)),$C11,INDEX('TEAM MAP'!$I$6:$I$605,MATCH($C11,'TEAM MAP'!$H$6:$H$605,0))))</f>
        <v/>
      </c>
      <c r="P11">
        <f>IF(OR($A11="",$O11=""),"",IF(ISNA(MATCH($A11,CLEAN!$A$6:$A$1005,0)),"NO GAME",IF(OR($O11=INDEX(CLEAN!$AF$6:$AF$1005,MATCH($A11,CLEAN!$A$6:$A$1005,0)),$O11=INDEX(CLEAN!$AG$6:$AG$1005,MATCH($A11,CLEAN!$A$6:$A$1005,0))),"OK","INVALID")))</f>
        <v/>
      </c>
      <c r="Q11">
        <f>IF($A11="","",IF($P11="INVALID","INVALID FAVORITE; ","")&amp;IF($P11="NO GAME","GAMEID NOT IN SCHEDULE; ","")&amp;IF($D11="","SPREAD MISSING; ","")&amp;IF($E11="","TOTAL MISSING; ","")&amp;IF($G11="","DATE MISSING; ","")&amp;IF($F11="","SOURCE MISSING; ","")&amp;IF($R11&gt;1,"DUPLICATE GAMEID ROW; ","")&amp;IF(AND($G11&lt;&gt;"",SETTINGS!$B$5&lt;&gt;"",SETTINGS!$B$5-$G11&gt;SETTINGS!$B$13),"STALE; ",""))</f>
        <v/>
      </c>
      <c r="R11">
        <f>IF($A11="","",COUNTIF($A$6:$A$1005,$A11))</f>
        <v/>
      </c>
    </row>
    <row r="14">
      <c r="B14">
        <f>IF($A14="","",IF(ISNA(MATCH($A14,CLEAN!$A$6:$A$1005,0)),"GAMEID NOT IN SCHEDULE",INDEX(CLEAN!$AF$6:$AF$1005,MATCH($A14,CLEAN!$A$6:$A$1005,0))&amp;" @ "&amp;INDEX(CLEAN!$AG$6:$AG$1005,MATCH($A14,CLEAN!$A$6:$A$1005,0))))</f>
        <v/>
      </c>
      <c r="O14">
        <f>IF($C14="","",IF(ISNA(MATCH($C14,'TEAM MAP'!$H$6:$H$605,0)),$C14,INDEX('TEAM MAP'!$I$6:$I$605,MATCH($C14,'TEAM MAP'!$H$6:$H$605,0))))</f>
        <v/>
      </c>
      <c r="P14">
        <f>IF(OR($A14="",$O14=""),"",IF(ISNA(MATCH($A14,CLEAN!$A$6:$A$1005,0)),"NO GAME",IF(OR($O14=INDEX(CLEAN!$AF$6:$AF$1005,MATCH($A14,CLEAN!$A$6:$A$1005,0)),$O14=INDEX(CLEAN!$AG$6:$AG$1005,MATCH($A14,CLEAN!$A$6:$A$1005,0))),"OK","INVALID")))</f>
        <v/>
      </c>
      <c r="Q14">
        <f>IF($A14="","",IF($P14="INVALID","INVALID FAVORITE; ","")&amp;IF($P14="NO GAME","GAMEID NOT IN SCHEDULE; ","")&amp;IF($D14="","SPREAD MISSING; ","")&amp;IF($E14="","TOTAL MISSING; ","")&amp;IF($G14="","DATE MISSING; ","")&amp;IF($F14="","SOURCE MISSING; ","")&amp;IF($R14&gt;1,"DUPLICATE GAMEID ROW; ","")&amp;IF(AND($G14&lt;&gt;"",SETTINGS!$B$5&lt;&gt;"",SETTINGS!$B$5-$G14&gt;SETTINGS!$B$13),"STALE; ",""))</f>
        <v/>
      </c>
      <c r="R14">
        <f>IF($A14="","",COUNTIF($A$6:$A$1005,$A14))</f>
        <v/>
      </c>
    </row>
    <row r="15">
      <c r="B15">
        <f>IF($A15="","",IF(ISNA(MATCH($A15,CLEAN!$A$6:$A$1005,0)),"GAMEID NOT IN SCHEDULE",INDEX(CLEAN!$AF$6:$AF$1005,MATCH($A15,CLEAN!$A$6:$A$1005,0))&amp;" @ "&amp;INDEX(CLEAN!$AG$6:$AG$1005,MATCH($A15,CLEAN!$A$6:$A$1005,0))))</f>
        <v/>
      </c>
      <c r="O15">
        <f>IF($C15="","",IF(ISNA(MATCH($C15,'TEAM MAP'!$H$6:$H$605,0)),$C15,INDEX('TEAM MAP'!$I$6:$I$605,MATCH($C15,'TEAM MAP'!$H$6:$H$605,0))))</f>
        <v/>
      </c>
      <c r="P15">
        <f>IF(OR($A15="",$O15=""),"",IF(ISNA(MATCH($A15,CLEAN!$A$6:$A$1005,0)),"NO GAME",IF(OR($O15=INDEX(CLEAN!$AF$6:$AF$1005,MATCH($A15,CLEAN!$A$6:$A$1005,0)),$O15=INDEX(CLEAN!$AG$6:$AG$1005,MATCH($A15,CLEAN!$A$6:$A$1005,0))),"OK","INVALID")))</f>
        <v/>
      </c>
      <c r="Q15">
        <f>IF($A15="","",IF($P15="INVALID","INVALID FAVORITE; ","")&amp;IF($P15="NO GAME","GAMEID NOT IN SCHEDULE; ","")&amp;IF($D15="","SPREAD MISSING; ","")&amp;IF($E15="","TOTAL MISSING; ","")&amp;IF($G15="","DATE MISSING; ","")&amp;IF($F15="","SOURCE MISSING; ","")&amp;IF($R15&gt;1,"DUPLICATE GAMEID ROW; ","")&amp;IF(AND($G15&lt;&gt;"",SETTINGS!$B$5&lt;&gt;"",SETTINGS!$B$5-$G15&gt;SETTINGS!$B$13),"STALE; ",""))</f>
        <v/>
      </c>
      <c r="R15">
        <f>IF($A15="","",COUNTIF($A$6:$A$1005,$A15))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6:Z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IF($A6="","",SUMIFS(CLEAN!$X$6:$X$1005,CLEAN!$P$6:$P$1005,$A6)+SUMIFS(CLEAN!$Z$6:$Z$1005,CLEAN!$N$6:$N$1005,$A6))</f>
        <v/>
      </c>
      <c r="C6">
        <f>IF($A6="","",SUMIFS(CLEAN!$Y$6:$Y$1005,CLEAN!$P$6:$P$1005,$A6)+SUMIFS(CLEAN!$AA$6:$AA$1005,CLEAN!$N$6:$N$1005,$A6))</f>
        <v/>
      </c>
      <c r="D6">
        <f>IF($A6="","",IF($C6&gt;0,$B6/$C6,""))</f>
        <v/>
      </c>
      <c r="E6">
        <f>IF($A6="","",IF(ISNA(MATCH($A6,'IMPORT STATS'!$K$6:$K$205,0)),"",IF(INDEX('IMPORT STATS'!$C$6:$C$205,MATCH($A6,'IMPORT STATS'!$K$6:$K$205,0))="","",INDEX('IMPORT STATS'!$C$6:$C$205,MATCH($A6,'IMPORT STATS'!$K$6:$K$205,0)))))</f>
        <v/>
      </c>
      <c r="F6">
        <f>IF($A6="","",IF(ISNA(MATCH($A6,'IMPORT STATS'!$K$6:$K$205,0)),"",IF(INDEX('IMPORT STATS'!$D$6:$D$205,MATCH($A6,'IMPORT STATS'!$K$6:$K$205,0))="","",INDEX('IMPORT STATS'!$D$6:$D$205,MATCH($A6,'IMPORT STATS'!$K$6:$K$205,0)))))</f>
        <v/>
      </c>
      <c r="G6">
        <f>IF(OR($E6="",$F6=""),"",($E6-$F6)*SETTINGS!$B$17)</f>
        <v/>
      </c>
      <c r="H6">
        <f>IF($A6="","",IF(AND($D6="",$G6=""),"",IF($D6="",$G6,IF($G6="",$D6,SETTINGS!$B$18*$D6+SETTINGS!$B$19*$G6))))</f>
        <v/>
      </c>
      <c r="K6">
        <f>IF(CLEAN!$A6="","",CLEAN!$A6)</f>
        <v/>
      </c>
      <c r="L6">
        <f>IF($K6="","",IF(ISNA(MATCH($K6,'MARKET LINES'!$A$6:$A$1005,0)),"",MATCH($K6,'MARKET LINES'!$A$6:$A$1005,0)))</f>
        <v/>
      </c>
      <c r="M6">
        <f>IF($L6="","",IF(INDEX('MARKET LINES'!$O$6:$O$1005,$L6)="","",INDEX('MARKET LINES'!$O$6:$O$1005,$L6)))</f>
        <v/>
      </c>
      <c r="N6">
        <f>IF(OR($L6="",$M6=""),"",IF(INDEX('MARKET LINES'!$D$6:$D$1005,$L6)="","",IF($M6=CLEAN!$AG6,-INDEX('MARKET LINES'!$D$6:$D$1005,$L6),IF($M6=CLEAN!$AF6,INDEX('MARKET LINES'!$D$6:$D$1005,$L6),""))))</f>
        <v/>
      </c>
      <c r="O6">
        <f>IF($L6="","",IF(INDEX('MARKET LINES'!$E$6:$E$1005,$L6)="","",INDEX('MARKET LINES'!$E$6:$E$1005,$L6)))</f>
        <v/>
      </c>
      <c r="P6">
        <f>IF($L6="","",IF(INDEX('MARKET LINES'!$G$6:$G$1005,$L6)="","",INDEX('MARKET LINES'!$G$6:$G$1005,$L6)))</f>
        <v/>
      </c>
      <c r="Q6">
        <f>IF(OR($L6="",$P6="",SETTINGS!$B$5=""),0,IF(SETTINGS!$B$5-$P6&gt;SETTINGS!$B$13,1,0))</f>
        <v/>
      </c>
      <c r="R6">
        <f>IF($K6="",0,IF(COUNTIF('MARKET LINES'!$A$6:$A$1005,$K6)&gt;1,1,0))</f>
        <v/>
      </c>
      <c r="S6">
        <f>IF($K6="",0,IF($L6="",1,IF(INDEX('MARKET LINES'!$D$6:$D$1005,$L6)="",1,0)))</f>
        <v/>
      </c>
      <c r="T6">
        <f>IF(CLEAN!$N6="","",IF(ISNA(MATCH(CLEAN!$N6,$A$6:$A$143,0)),"",IF(INDEX($E$6:$E$143,MATCH(CLEAN!$N6,$A$6:$A$143,0))="","",INDEX($E$6:$E$143,MATCH(CLEAN!$N6,$A$6:$A$143,0)))))</f>
        <v/>
      </c>
      <c r="U6">
        <f>IF(CLEAN!$N6="","",IF(ISNA(MATCH(CLEAN!$N6,$A$6:$A$143,0)),"",IF(INDEX($F$6:$F$143,MATCH(CLEAN!$N6,$A$6:$A$143,0))="","",INDEX($F$6:$F$143,MATCH(CLEAN!$N6,$A$6:$A$143,0)))))</f>
        <v/>
      </c>
      <c r="V6">
        <f>IF(CLEAN!$P6="","",IF(ISNA(MATCH(CLEAN!$P6,$A$6:$A$143,0)),"",IF(INDEX($E$6:$E$143,MATCH(CLEAN!$P6,$A$6:$A$143,0))="","",INDEX($E$6:$E$143,MATCH(CLEAN!$P6,$A$6:$A$143,0)))))</f>
        <v/>
      </c>
      <c r="W6">
        <f>IF(CLEAN!$P6="","",IF(ISNA(MATCH(CLEAN!$P6,$A$6:$A$143,0)),"",IF(INDEX($F$6:$F$143,MATCH(CLEAN!$P6,$A$6:$A$143,0))="","",INDEX($F$6:$F$143,MATCH(CLEAN!$P6,$A$6:$A$143,0)))))</f>
        <v/>
      </c>
      <c r="X6">
        <f>IF($K6="","",IF(CLEAN!$O6&lt;&gt;"FBS",0,IF(ISNA(MATCH(CLEAN!$N6,'TEAM RATINGS'!$A$6:$A$143,0)),0,IF(INDEX('TEAM RATINGS'!$F$6:$F$143,MATCH(CLEAN!$N6,'TEAM RATINGS'!$A$6:$A$143,0))="",0,INDEX('TEAM RATINGS'!$F$6:$F$143,MATCH(CLEAN!$N6,'TEAM RATINGS'!$A$6:$A$143,0))))))</f>
        <v/>
      </c>
      <c r="Y6">
        <f>IF($K6="","",IF(CLEAN!$Q6&lt;&gt;"FBS",0,IF(ISNA(MATCH(CLEAN!$P6,'TEAM RATINGS'!$A$6:$A$143,0)),0,IF(INDEX('TEAM RATINGS'!$F$6:$F$143,MATCH(CLEAN!$P6,'TEAM RATINGS'!$A$6:$A$143,0))="",0,INDEX('TEAM RATINGS'!$F$6:$F$143,MATCH(CLEAN!$P6,'TEAM RATINGS'!$A$6:$A$143,0))))))</f>
        <v/>
      </c>
      <c r="Z6">
        <f>IF($K6="","",MIN(IF($X6="",0,$X6),IF($Y6="",0,$Y6)))</f>
        <v/>
      </c>
    </row>
    <row r="7">
      <c r="A7">
        <f>IF('TEAM RATINGS'!$A7="","",'TEAM RATINGS'!$A7)</f>
        <v/>
      </c>
      <c r="B7">
        <f>IF($A7="","",SUMIFS(CLEAN!$X$6:$X$1005,CLEAN!$P$6:$P$1005,$A7)+SUMIFS(CLEAN!$Z$6:$Z$1005,CLEAN!$N$6:$N$1005,$A7))</f>
        <v/>
      </c>
      <c r="C7">
        <f>IF($A7="","",SUMIFS(CLEAN!$Y$6:$Y$1005,CLEAN!$P$6:$P$1005,$A7)+SUMIFS(CLEAN!$AA$6:$AA$1005,CLEAN!$N$6:$N$1005,$A7))</f>
        <v/>
      </c>
      <c r="D7">
        <f>IF($A7="","",IF($C7&gt;0,$B7/$C7,""))</f>
        <v/>
      </c>
      <c r="E7">
        <f>IF($A7="","",IF(ISNA(MATCH($A7,'IMPORT STATS'!$K$6:$K$205,0)),"",IF(INDEX('IMPORT STATS'!$C$6:$C$205,MATCH($A7,'IMPORT STATS'!$K$6:$K$205,0))="","",INDEX('IMPORT STATS'!$C$6:$C$205,MATCH($A7,'IMPORT STATS'!$K$6:$K$205,0)))))</f>
        <v/>
      </c>
      <c r="F7">
        <f>IF($A7="","",IF(ISNA(MATCH($A7,'IMPORT STATS'!$K$6:$K$205,0)),"",IF(INDEX('IMPORT STATS'!$D$6:$D$205,MATCH($A7,'IMPORT STATS'!$K$6:$K$205,0))="","",INDEX('IMPORT STATS'!$D$6:$D$205,MATCH($A7,'IMPORT STATS'!$K$6:$K$205,0)))))</f>
        <v/>
      </c>
      <c r="G7">
        <f>IF(OR($E7="",$F7=""),"",($E7-$F7)*SETTINGS!$B$17)</f>
        <v/>
      </c>
      <c r="H7">
        <f>IF($A7="","",IF(AND($D7="",$G7=""),"",IF($D7="",$G7,IF($G7="",$D7,SETTINGS!$B$18*$D7+SETTINGS!$B$19*$G7))))</f>
        <v/>
      </c>
    </row>
    <row r="8">
      <c r="A8">
        <f>IF('TEAM RATINGS'!$A8="","",'TEAM RATINGS'!$A8)</f>
        <v/>
      </c>
      <c r="B8">
        <f>IF($A8="","",SUMIFS(CLEAN!$X$6:$X$1005,CLEAN!$P$6:$P$1005,$A8)+SUMIFS(CLEAN!$Z$6:$Z$1005,CLEAN!$N$6:$N$1005,$A8))</f>
        <v/>
      </c>
      <c r="C8">
        <f>IF($A8="","",SUMIFS(CLEAN!$Y$6:$Y$1005,CLEAN!$P$6:$P$1005,$A8)+SUMIFS(CLEAN!$AA$6:$AA$1005,CLEAN!$N$6:$N$1005,$A8))</f>
        <v/>
      </c>
      <c r="D8">
        <f>IF($A8="","",IF($C8&gt;0,$B8/$C8,""))</f>
        <v/>
      </c>
      <c r="E8">
        <f>IF($A8="","",IF(ISNA(MATCH($A8,'IMPORT STATS'!$K$6:$K$205,0)),"",IF(INDEX('IMPORT STATS'!$C$6:$C$205,MATCH($A8,'IMPORT STATS'!$K$6:$K$205,0))="","",INDEX('IMPORT STATS'!$C$6:$C$205,MATCH($A8,'IMPORT STATS'!$K$6:$K$205,0)))))</f>
        <v/>
      </c>
      <c r="F8">
        <f>IF($A8="","",IF(ISNA(MATCH($A8,'IMPORT STATS'!$K$6:$K$205,0)),"",IF(INDEX('IMPORT STATS'!$D$6:$D$205,MATCH($A8,'IMPORT STATS'!$K$6:$K$205,0))="","",INDEX('IMPORT STATS'!$D$6:$D$205,MATCH($A8,'IMPORT STATS'!$K$6:$K$205,0)))))</f>
        <v/>
      </c>
      <c r="G8">
        <f>IF(OR($E8="",$F8=""),"",($E8-$F8)*SETTINGS!$B$17)</f>
        <v/>
      </c>
      <c r="H8">
        <f>IF($A8="","",IF(AND($D8="",$G8=""),"",IF($D8="",$G8,IF($G8="",$D8,SETTINGS!$B$18*$D8+SETTINGS!$B$19*$G8))))</f>
        <v/>
      </c>
      <c r="K8">
        <f>IF(CLEAN!$A8="","",CLEAN!$A8)</f>
        <v/>
      </c>
      <c r="L8">
        <f>IF($K8="","",IF(ISNA(MATCH($K8,'MARKET LINES'!$A$6:$A$1005,0)),"",MATCH($K8,'MARKET LINES'!$A$6:$A$1005,0)))</f>
        <v/>
      </c>
      <c r="M8">
        <f>IF($L8="","",IF(INDEX('MARKET LINES'!$O$6:$O$1005,$L8)="","",INDEX('MARKET LINES'!$O$6:$O$1005,$L8)))</f>
        <v/>
      </c>
      <c r="N8">
        <f>IF(OR($L8="",$M8=""),"",IF(INDEX('MARKET LINES'!$D$6:$D$1005,$L8)="","",IF($M8=CLEAN!$AG8,-INDEX('MARKET LINES'!$D$6:$D$1005,$L8),IF($M8=CLEAN!$AF8,INDEX('MARKET LINES'!$D$6:$D$1005,$L8),""))))</f>
        <v/>
      </c>
      <c r="O8">
        <f>IF($L8="","",IF(INDEX('MARKET LINES'!$E$6:$E$1005,$L8)="","",INDEX('MARKET LINES'!$E$6:$E$1005,$L8)))</f>
        <v/>
      </c>
      <c r="P8">
        <f>IF($L8="","",IF(INDEX('MARKET LINES'!$G$6:$G$1005,$L8)="","",INDEX('MARKET LINES'!$G$6:$G$1005,$L8)))</f>
        <v/>
      </c>
      <c r="Q8">
        <f>IF(OR($L8="",$P8="",SETTINGS!$B$5=""),0,IF(SETTINGS!$B$5-$P8&gt;SETTINGS!$B$13,1,0))</f>
        <v/>
      </c>
      <c r="R8">
        <f>IF($K8="",0,IF(COUNTIF('MARKET LINES'!$A$6:$A$1005,$K8)&gt;1,1,0))</f>
        <v/>
      </c>
      <c r="S8">
        <f>IF($K8="",0,IF($L8="",1,IF(INDEX('MARKET LINES'!$D$6:$D$1005,$L8)="",1,0)))</f>
        <v/>
      </c>
      <c r="T8">
        <f>IF(CLEAN!$N8="","",IF(ISNA(MATCH(CLEAN!$N8,$A$6:$A$143,0)),"",IF(INDEX($E$6:$E$143,MATCH(CLEAN!$N8,$A$6:$A$143,0))="","",INDEX($E$6:$E$143,MATCH(CLEAN!$N8,$A$6:$A$143,0)))))</f>
        <v/>
      </c>
      <c r="U8">
        <f>IF(CLEAN!$N8="","",IF(ISNA(MATCH(CLEAN!$N8,$A$6:$A$143,0)),"",IF(INDEX($F$6:$F$143,MATCH(CLEAN!$N8,$A$6:$A$143,0))="","",INDEX($F$6:$F$143,MATCH(CLEAN!$N8,$A$6:$A$143,0)))))</f>
        <v/>
      </c>
      <c r="V8">
        <f>IF(CLEAN!$P8="","",IF(ISNA(MATCH(CLEAN!$P8,$A$6:$A$143,0)),"",IF(INDEX($E$6:$E$143,MATCH(CLEAN!$P8,$A$6:$A$143,0))="","",INDEX($E$6:$E$143,MATCH(CLEAN!$P8,$A$6:$A$143,0)))))</f>
        <v/>
      </c>
      <c r="W8">
        <f>IF(CLEAN!$P8="","",IF(ISNA(MATCH(CLEAN!$P8,$A$6:$A$143,0)),"",IF(INDEX($F$6:$F$143,MATCH(CLEAN!$P8,$A$6:$A$143,0))="","",INDEX($F$6:$F$143,MATCH(CLEAN!$P8,$A$6:$A$143,0)))))</f>
        <v/>
      </c>
      <c r="X8">
        <f>IF($K8="","",IF(CLEAN!$O8&lt;&gt;"FBS",0,IF(ISNA(MATCH(CLEAN!$N8,'TEAM RATINGS'!$A$6:$A$143,0)),0,IF(INDEX('TEAM RATINGS'!$F$6:$F$143,MATCH(CLEAN!$N8,'TEAM RATINGS'!$A$6:$A$143,0))="",0,INDEX('TEAM RATINGS'!$F$6:$F$143,MATCH(CLEAN!$N8,'TEAM RATINGS'!$A$6:$A$143,0))))))</f>
        <v/>
      </c>
      <c r="Y8">
        <f>IF($K8="","",IF(CLEAN!$Q8&lt;&gt;"FBS",0,IF(ISNA(MATCH(CLEAN!$P8,'TEAM RATINGS'!$A$6:$A$143,0)),0,IF(INDEX('TEAM RATINGS'!$F$6:$F$143,MATCH(CLEAN!$P8,'TEAM RATINGS'!$A$6:$A$143,0))="",0,INDEX('TEAM RATINGS'!$F$6:$F$143,MATCH(CLEAN!$P8,'TEAM RATINGS'!$A$6:$A$143,0))))))</f>
        <v/>
      </c>
      <c r="Z8">
        <f>IF($K8="","",MIN(IF($X8="",0,$X8),IF($Y8="",0,$Y8)))</f>
        <v/>
      </c>
    </row>
    <row r="9">
      <c r="A9">
        <f>IF('TEAM RATINGS'!$A9="","",'TEAM RATINGS'!$A9)</f>
        <v/>
      </c>
      <c r="B9">
        <f>IF($A9="","",SUMIFS(CLEAN!$X$6:$X$1005,CLEAN!$P$6:$P$1005,$A9)+SUMIFS(CLEAN!$Z$6:$Z$1005,CLEAN!$N$6:$N$1005,$A9))</f>
        <v/>
      </c>
      <c r="C9">
        <f>IF($A9="","",SUMIFS(CLEAN!$Y$6:$Y$1005,CLEAN!$P$6:$P$1005,$A9)+SUMIFS(CLEAN!$AA$6:$AA$1005,CLEAN!$N$6:$N$1005,$A9))</f>
        <v/>
      </c>
      <c r="D9">
        <f>IF($A9="","",IF($C9&gt;0,$B9/$C9,""))</f>
        <v/>
      </c>
      <c r="E9">
        <f>IF($A9="","",IF(ISNA(MATCH($A9,'IMPORT STATS'!$K$6:$K$205,0)),"",IF(INDEX('IMPORT STATS'!$C$6:$C$205,MATCH($A9,'IMPORT STATS'!$K$6:$K$205,0))="","",INDEX('IMPORT STATS'!$C$6:$C$205,MATCH($A9,'IMPORT STATS'!$K$6:$K$205,0)))))</f>
        <v/>
      </c>
      <c r="F9">
        <f>IF($A9="","",IF(ISNA(MATCH($A9,'IMPORT STATS'!$K$6:$K$205,0)),"",IF(INDEX('IMPORT STATS'!$D$6:$D$205,MATCH($A9,'IMPORT STATS'!$K$6:$K$205,0))="","",INDEX('IMPORT STATS'!$D$6:$D$205,MATCH($A9,'IMPORT STATS'!$K$6:$K$205,0)))))</f>
        <v/>
      </c>
      <c r="G9">
        <f>IF(OR($E9="",$F9=""),"",($E9-$F9)*SETTINGS!$B$17)</f>
        <v/>
      </c>
      <c r="H9">
        <f>IF($A9="","",IF(AND($D9="",$G9=""),"",IF($D9="",$G9,IF($G9="",$D9,SETTINGS!$B$18*$D9+SETTINGS!$B$19*$G9))))</f>
        <v/>
      </c>
      <c r="K9">
        <f>IF(CLEAN!$A9="","",CLEAN!$A9)</f>
        <v/>
      </c>
      <c r="L9">
        <f>IF($K9="","",IF(ISNA(MATCH($K9,'MARKET LINES'!$A$6:$A$1005,0)),"",MATCH($K9,'MARKET LINES'!$A$6:$A$1005,0)))</f>
        <v/>
      </c>
      <c r="M9">
        <f>IF($L9="","",IF(INDEX('MARKET LINES'!$O$6:$O$1005,$L9)="","",INDEX('MARKET LINES'!$O$6:$O$1005,$L9)))</f>
        <v/>
      </c>
      <c r="N9">
        <f>IF(OR($L9="",$M9=""),"",IF(INDEX('MARKET LINES'!$D$6:$D$1005,$L9)="","",IF($M9=CLEAN!$AG9,-INDEX('MARKET LINES'!$D$6:$D$1005,$L9),IF($M9=CLEAN!$AF9,INDEX('MARKET LINES'!$D$6:$D$1005,$L9),""))))</f>
        <v/>
      </c>
      <c r="O9">
        <f>IF($L9="","",IF(INDEX('MARKET LINES'!$E$6:$E$1005,$L9)="","",INDEX('MARKET LINES'!$E$6:$E$1005,$L9)))</f>
        <v/>
      </c>
      <c r="P9">
        <f>IF($L9="","",IF(INDEX('MARKET LINES'!$G$6:$G$1005,$L9)="","",INDEX('MARKET LINES'!$G$6:$G$1005,$L9)))</f>
        <v/>
      </c>
      <c r="Q9">
        <f>IF(OR($L9="",$P9="",SETTINGS!$B$5=""),0,IF(SETTINGS!$B$5-$P9&gt;SETTINGS!$B$13,1,0))</f>
        <v/>
      </c>
      <c r="R9">
        <f>IF($K9="",0,IF(COUNTIF('MARKET LINES'!$A$6:$A$1005,$K9)&gt;1,1,0))</f>
        <v/>
      </c>
      <c r="S9">
        <f>IF($K9="",0,IF($L9="",1,IF(INDEX('MARKET LINES'!$D$6:$D$1005,$L9)="",1,0)))</f>
        <v/>
      </c>
      <c r="T9">
        <f>IF(CLEAN!$N9="","",IF(ISNA(MATCH(CLEAN!$N9,$A$6:$A$143,0)),"",IF(INDEX($E$6:$E$143,MATCH(CLEAN!$N9,$A$6:$A$143,0))="","",INDEX($E$6:$E$143,MATCH(CLEAN!$N9,$A$6:$A$143,0)))))</f>
        <v/>
      </c>
      <c r="U9">
        <f>IF(CLEAN!$N9="","",IF(ISNA(MATCH(CLEAN!$N9,$A$6:$A$143,0)),"",IF(INDEX($F$6:$F$143,MATCH(CLEAN!$N9,$A$6:$A$143,0))="","",INDEX($F$6:$F$143,MATCH(CLEAN!$N9,$A$6:$A$143,0)))))</f>
        <v/>
      </c>
      <c r="V9">
        <f>IF(CLEAN!$P9="","",IF(ISNA(MATCH(CLEAN!$P9,$A$6:$A$143,0)),"",IF(INDEX($E$6:$E$143,MATCH(CLEAN!$P9,$A$6:$A$143,0))="","",INDEX($E$6:$E$143,MATCH(CLEAN!$P9,$A$6:$A$143,0)))))</f>
        <v/>
      </c>
      <c r="W9">
        <f>IF(CLEAN!$P9="","",IF(ISNA(MATCH(CLEAN!$P9,$A$6:$A$143,0)),"",IF(INDEX($F$6:$F$143,MATCH(CLEAN!$P9,$A$6:$A$143,0))="","",INDEX($F$6:$F$143,MATCH(CLEAN!$P9,$A$6:$A$143,0)))))</f>
        <v/>
      </c>
      <c r="X9">
        <f>IF($K9="","",IF(CLEAN!$O9&lt;&gt;"FBS",0,IF(ISNA(MATCH(CLEAN!$N9,'TEAM RATINGS'!$A$6:$A$143,0)),0,IF(INDEX('TEAM RATINGS'!$F$6:$F$143,MATCH(CLEAN!$N9,'TEAM RATINGS'!$A$6:$A$143,0))="",0,INDEX('TEAM RATINGS'!$F$6:$F$143,MATCH(CLEAN!$N9,'TEAM RATINGS'!$A$6:$A$143,0))))))</f>
        <v/>
      </c>
      <c r="Y9">
        <f>IF($K9="","",IF(CLEAN!$Q9&lt;&gt;"FBS",0,IF(ISNA(MATCH(CLEAN!$P9,'TEAM RATINGS'!$A$6:$A$143,0)),0,IF(INDEX('TEAM RATINGS'!$F$6:$F$143,MATCH(CLEAN!$P9,'TEAM RATINGS'!$A$6:$A$143,0))="",0,INDEX('TEAM RATINGS'!$F$6:$F$143,MATCH(CLEAN!$P9,'TEAM RATINGS'!$A$6:$A$143,0))))))</f>
        <v/>
      </c>
      <c r="Z9">
        <f>IF($K9="","",MIN(IF($X9="",0,$X9),IF($Y9="",0,$Y9)))</f>
        <v/>
      </c>
    </row>
    <row r="10">
      <c r="A10">
        <f>IF('TEAM RATINGS'!$A10="","",'TEAM RATINGS'!$A10)</f>
        <v/>
      </c>
      <c r="B10">
        <f>IF($A10="","",SUMIFS(CLEAN!$X$6:$X$1005,CLEAN!$P$6:$P$1005,$A10)+SUMIFS(CLEAN!$Z$6:$Z$1005,CLEAN!$N$6:$N$1005,$A10))</f>
        <v/>
      </c>
      <c r="C10">
        <f>IF($A10="","",SUMIFS(CLEAN!$Y$6:$Y$1005,CLEAN!$P$6:$P$1005,$A10)+SUMIFS(CLEAN!$AA$6:$AA$1005,CLEAN!$N$6:$N$1005,$A10))</f>
        <v/>
      </c>
      <c r="D10">
        <f>IF($A10="","",IF($C10&gt;0,$B10/$C10,""))</f>
        <v/>
      </c>
      <c r="E10">
        <f>IF($A10="","",IF(ISNA(MATCH($A10,'IMPORT STATS'!$K$6:$K$205,0)),"",IF(INDEX('IMPORT STATS'!$C$6:$C$205,MATCH($A10,'IMPORT STATS'!$K$6:$K$205,0))="","",INDEX('IMPORT STATS'!$C$6:$C$205,MATCH($A10,'IMPORT STATS'!$K$6:$K$205,0)))))</f>
        <v/>
      </c>
      <c r="F10">
        <f>IF($A10="","",IF(ISNA(MATCH($A10,'IMPORT STATS'!$K$6:$K$205,0)),"",IF(INDEX('IMPORT STATS'!$D$6:$D$205,MATCH($A10,'IMPORT STATS'!$K$6:$K$205,0))="","",INDEX('IMPORT STATS'!$D$6:$D$205,MATCH($A10,'IMPORT STATS'!$K$6:$K$205,0)))))</f>
        <v/>
      </c>
      <c r="G10">
        <f>IF(OR($E10="",$F10=""),"",($E10-$F10)*SETTINGS!$B$17)</f>
        <v/>
      </c>
      <c r="H10">
        <f>IF($A10="","",IF(AND($D10="",$G10=""),"",IF($D10="",$G10,IF($G10="",$D10,SETTINGS!$B$18*$D10+SETTINGS!$B$19*$G10))))</f>
        <v/>
      </c>
      <c r="K10">
        <f>IF(CLEAN!$A10="","",CLEAN!$A10)</f>
        <v/>
      </c>
      <c r="L10">
        <f>IF($K10="","",IF(ISNA(MATCH($K10,'MARKET LINES'!$A$6:$A$1005,0)),"",MATCH($K10,'MARKET LINES'!$A$6:$A$1005,0)))</f>
        <v/>
      </c>
      <c r="M10">
        <f>IF($L10="","",IF(INDEX('MARKET LINES'!$O$6:$O$1005,$L10)="","",INDEX('MARKET LINES'!$O$6:$O$1005,$L10)))</f>
        <v/>
      </c>
      <c r="N10">
        <f>IF(OR($L10="",$M10=""),"",IF(INDEX('MARKET LINES'!$D$6:$D$1005,$L10)="","",IF($M10=CLEAN!$AG10,-INDEX('MARKET LINES'!$D$6:$D$1005,$L10),IF($M10=CLEAN!$AF10,INDEX('MARKET LINES'!$D$6:$D$1005,$L10),""))))</f>
        <v/>
      </c>
      <c r="O10">
        <f>IF($L10="","",IF(INDEX('MARKET LINES'!$E$6:$E$1005,$L10)="","",INDEX('MARKET LINES'!$E$6:$E$1005,$L10)))</f>
        <v/>
      </c>
      <c r="P10">
        <f>IF($L10="","",IF(INDEX('MARKET LINES'!$G$6:$G$1005,$L10)="","",INDEX('MARKET LINES'!$G$6:$G$1005,$L10)))</f>
        <v/>
      </c>
      <c r="Q10">
        <f>IF(OR($L10="",$P10="",SETTINGS!$B$5=""),0,IF(SETTINGS!$B$5-$P10&gt;SETTINGS!$B$13,1,0))</f>
        <v/>
      </c>
      <c r="R10">
        <f>IF($K10="",0,IF(COUNTIF('MARKET LINES'!$A$6:$A$1005,$K10)&gt;1,1,0))</f>
        <v/>
      </c>
      <c r="S10">
        <f>IF($K10="",0,IF($L10="",1,IF(INDEX('MARKET LINES'!$D$6:$D$1005,$L10)="",1,0)))</f>
        <v/>
      </c>
      <c r="T10">
        <f>IF(CLEAN!$N10="","",IF(ISNA(MATCH(CLEAN!$N10,$A$6:$A$143,0)),"",IF(INDEX($E$6:$E$143,MATCH(CLEAN!$N10,$A$6:$A$143,0))="","",INDEX($E$6:$E$143,MATCH(CLEAN!$N10,$A$6:$A$143,0)))))</f>
        <v/>
      </c>
      <c r="U10">
        <f>IF(CLEAN!$N10="","",IF(ISNA(MATCH(CLEAN!$N10,$A$6:$A$143,0)),"",IF(INDEX($F$6:$F$143,MATCH(CLEAN!$N10,$A$6:$A$143,0))="","",INDEX($F$6:$F$143,MATCH(CLEAN!$N10,$A$6:$A$143,0)))))</f>
        <v/>
      </c>
      <c r="V10">
        <f>IF(CLEAN!$P10="","",IF(ISNA(MATCH(CLEAN!$P10,$A$6:$A$143,0)),"",IF(INDEX($E$6:$E$143,MATCH(CLEAN!$P10,$A$6:$A$143,0))="","",INDEX($E$6:$E$143,MATCH(CLEAN!$P10,$A$6:$A$143,0)))))</f>
        <v/>
      </c>
      <c r="W10">
        <f>IF(CLEAN!$P10="","",IF(ISNA(MATCH(CLEAN!$P10,$A$6:$A$143,0)),"",IF(INDEX($F$6:$F$143,MATCH(CLEAN!$P10,$A$6:$A$143,0))="","",INDEX($F$6:$F$143,MATCH(CLEAN!$P10,$A$6:$A$143,0)))))</f>
        <v/>
      </c>
      <c r="X10">
        <f>IF($K10="","",IF(CLEAN!$O10&lt;&gt;"FBS",0,IF(ISNA(MATCH(CLEAN!$N10,'TEAM RATINGS'!$A$6:$A$143,0)),0,IF(INDEX('TEAM RATINGS'!$F$6:$F$143,MATCH(CLEAN!$N10,'TEAM RATINGS'!$A$6:$A$143,0))="",0,INDEX('TEAM RATINGS'!$F$6:$F$143,MATCH(CLEAN!$N10,'TEAM RATINGS'!$A$6:$A$143,0))))))</f>
        <v/>
      </c>
      <c r="Y10">
        <f>IF($K10="","",IF(CLEAN!$Q10&lt;&gt;"FBS",0,IF(ISNA(MATCH(CLEAN!$P10,'TEAM RATINGS'!$A$6:$A$143,0)),0,IF(INDEX('TEAM RATINGS'!$F$6:$F$143,MATCH(CLEAN!$P10,'TEAM RATINGS'!$A$6:$A$143,0))="",0,INDEX('TEAM RATINGS'!$F$6:$F$143,MATCH(CLEAN!$P10,'TEAM RATINGS'!$A$6:$A$143,0))))))</f>
        <v/>
      </c>
      <c r="Z10">
        <f>IF($K10="","",MIN(IF($X10="",0,$X10),IF($Y10="",0,$Y10)))</f>
        <v/>
      </c>
    </row>
    <row r="11">
      <c r="A11">
        <f>IF('TEAM RATINGS'!$A11="","",'TEAM RATINGS'!$A11)</f>
        <v/>
      </c>
      <c r="B11">
        <f>IF($A11="","",SUMIFS(CLEAN!$X$6:$X$1005,CLEAN!$P$6:$P$1005,$A11)+SUMIFS(CLEAN!$Z$6:$Z$1005,CLEAN!$N$6:$N$1005,$A11))</f>
        <v/>
      </c>
      <c r="C11">
        <f>IF($A11="","",SUMIFS(CLEAN!$Y$6:$Y$1005,CLEAN!$P$6:$P$1005,$A11)+SUMIFS(CLEAN!$AA$6:$AA$1005,CLEAN!$N$6:$N$1005,$A11))</f>
        <v/>
      </c>
      <c r="D11">
        <f>IF($A11="","",IF($C11&gt;0,$B11/$C11,""))</f>
        <v/>
      </c>
      <c r="E11">
        <f>IF($A11="","",IF(ISNA(MATCH($A11,'IMPORT STATS'!$K$6:$K$205,0)),"",IF(INDEX('IMPORT STATS'!$C$6:$C$205,MATCH($A11,'IMPORT STATS'!$K$6:$K$205,0))="","",INDEX('IMPORT STATS'!$C$6:$C$205,MATCH($A11,'IMPORT STATS'!$K$6:$K$205,0)))))</f>
        <v/>
      </c>
      <c r="F11">
        <f>IF($A11="","",IF(ISNA(MATCH($A11,'IMPORT STATS'!$K$6:$K$205,0)),"",IF(INDEX('IMPORT STATS'!$D$6:$D$205,MATCH($A11,'IMPORT STATS'!$K$6:$K$205,0))="","",INDEX('IMPORT STATS'!$D$6:$D$205,MATCH($A11,'IMPORT STATS'!$K$6:$K$205,0)))))</f>
        <v/>
      </c>
      <c r="G11">
        <f>IF(OR($E11="",$F11=""),"",($E11-$F11)*SETTINGS!$B$17)</f>
        <v/>
      </c>
      <c r="H11">
        <f>IF($A11="","",IF(AND($D11="",$G11=""),"",IF($D11="",$G11,IF($G11="",$D11,SETTINGS!$B$18*$D11+SETTINGS!$B$19*$G11))))</f>
        <v/>
      </c>
      <c r="K11">
        <f>IF(CLEAN!$A11="","",CLEAN!$A11)</f>
        <v/>
      </c>
      <c r="L11">
        <f>IF($K11="","",IF(ISNA(MATCH($K11,'MARKET LINES'!$A$6:$A$1005,0)),"",MATCH($K11,'MARKET LINES'!$A$6:$A$1005,0)))</f>
        <v/>
      </c>
      <c r="M11">
        <f>IF($L11="","",IF(INDEX('MARKET LINES'!$O$6:$O$1005,$L11)="","",INDEX('MARKET LINES'!$O$6:$O$1005,$L11)))</f>
        <v/>
      </c>
      <c r="N11">
        <f>IF(OR($L11="",$M11=""),"",IF(INDEX('MARKET LINES'!$D$6:$D$1005,$L11)="","",IF($M11=CLEAN!$AG11,-INDEX('MARKET LINES'!$D$6:$D$1005,$L11),IF($M11=CLEAN!$AF11,INDEX('MARKET LINES'!$D$6:$D$1005,$L11),""))))</f>
        <v/>
      </c>
      <c r="O11">
        <f>IF($L11="","",IF(INDEX('MARKET LINES'!$E$6:$E$1005,$L11)="","",INDEX('MARKET LINES'!$E$6:$E$1005,$L11)))</f>
        <v/>
      </c>
      <c r="P11">
        <f>IF($L11="","",IF(INDEX('MARKET LINES'!$G$6:$G$1005,$L11)="","",INDEX('MARKET LINES'!$G$6:$G$1005,$L11)))</f>
        <v/>
      </c>
      <c r="Q11">
        <f>IF(OR($L11="",$P11="",SETTINGS!$B$5=""),0,IF(SETTINGS!$B$5-$P11&gt;SETTINGS!$B$13,1,0))</f>
        <v/>
      </c>
      <c r="R11">
        <f>IF($K11="",0,IF(COUNTIF('MARKET LINES'!$A$6:$A$1005,$K11)&gt;1,1,0))</f>
        <v/>
      </c>
      <c r="S11">
        <f>IF($K11="",0,IF($L11="",1,IF(INDEX('MARKET LINES'!$D$6:$D$1005,$L11)="",1,0)))</f>
        <v/>
      </c>
      <c r="T11">
        <f>IF(CLEAN!$N11="","",IF(ISNA(MATCH(CLEAN!$N11,$A$6:$A$143,0)),"",IF(INDEX($E$6:$E$143,MATCH(CLEAN!$N11,$A$6:$A$143,0))="","",INDEX($E$6:$E$143,MATCH(CLEAN!$N11,$A$6:$A$143,0)))))</f>
        <v/>
      </c>
      <c r="U11">
        <f>IF(CLEAN!$N11="","",IF(ISNA(MATCH(CLEAN!$N11,$A$6:$A$143,0)),"",IF(INDEX($F$6:$F$143,MATCH(CLEAN!$N11,$A$6:$A$143,0))="","",INDEX($F$6:$F$143,MATCH(CLEAN!$N11,$A$6:$A$143,0)))))</f>
        <v/>
      </c>
      <c r="V11">
        <f>IF(CLEAN!$P11="","",IF(ISNA(MATCH(CLEAN!$P11,$A$6:$A$143,0)),"",IF(INDEX($E$6:$E$143,MATCH(CLEAN!$P11,$A$6:$A$143,0))="","",INDEX($E$6:$E$143,MATCH(CLEAN!$P11,$A$6:$A$143,0)))))</f>
        <v/>
      </c>
      <c r="W11">
        <f>IF(CLEAN!$P11="","",IF(ISNA(MATCH(CLEAN!$P11,$A$6:$A$143,0)),"",IF(INDEX($F$6:$F$143,MATCH(CLEAN!$P11,$A$6:$A$143,0))="","",INDEX($F$6:$F$143,MATCH(CLEAN!$P11,$A$6:$A$143,0)))))</f>
        <v/>
      </c>
      <c r="X11">
        <f>IF($K11="","",IF(CLEAN!$O11&lt;&gt;"FBS",0,IF(ISNA(MATCH(CLEAN!$N11,'TEAM RATINGS'!$A$6:$A$143,0)),0,IF(INDEX('TEAM RATINGS'!$F$6:$F$143,MATCH(CLEAN!$N11,'TEAM RATINGS'!$A$6:$A$143,0))="",0,INDEX('TEAM RATINGS'!$F$6:$F$143,MATCH(CLEAN!$N11,'TEAM RATINGS'!$A$6:$A$143,0))))))</f>
        <v/>
      </c>
      <c r="Y11">
        <f>IF($K11="","",IF(CLEAN!$Q11&lt;&gt;"FBS",0,IF(ISNA(MATCH(CLEAN!$P11,'TEAM RATINGS'!$A$6:$A$143,0)),0,IF(INDEX('TEAM RATINGS'!$F$6:$F$143,MATCH(CLEAN!$P11,'TEAM RATINGS'!$A$6:$A$143,0))="",0,INDEX('TEAM RATINGS'!$F$6:$F$143,MATCH(CLEAN!$P11,'TEAM RATINGS'!$A$6:$A$143,0))))))</f>
        <v/>
      </c>
      <c r="Z11">
        <f>IF($K11="","",MIN(IF($X11="",0,$X11),IF($Y11="",0,$Y11)))</f>
        <v/>
      </c>
    </row>
    <row r="12">
      <c r="A12">
        <f>IF('TEAM RATINGS'!$A12="","",'TEAM RATINGS'!$A12)</f>
        <v/>
      </c>
      <c r="B12">
        <f>IF($A12="","",SUMIFS(CLEAN!$X$6:$X$1005,CLEAN!$P$6:$P$1005,$A12)+SUMIFS(CLEAN!$Z$6:$Z$1005,CLEAN!$N$6:$N$1005,$A12))</f>
        <v/>
      </c>
      <c r="C12">
        <f>IF($A12="","",SUMIFS(CLEAN!$Y$6:$Y$1005,CLEAN!$P$6:$P$1005,$A12)+SUMIFS(CLEAN!$AA$6:$AA$1005,CLEAN!$N$6:$N$1005,$A12))</f>
        <v/>
      </c>
      <c r="D12">
        <f>IF($A12="","",IF($C12&gt;0,$B12/$C12,""))</f>
        <v/>
      </c>
      <c r="E12">
        <f>IF($A12="","",IF(ISNA(MATCH($A12,'IMPORT STATS'!$K$6:$K$205,0)),"",IF(INDEX('IMPORT STATS'!$C$6:$C$205,MATCH($A12,'IMPORT STATS'!$K$6:$K$205,0))="","",INDEX('IMPORT STATS'!$C$6:$C$205,MATCH($A12,'IMPORT STATS'!$K$6:$K$205,0)))))</f>
        <v/>
      </c>
      <c r="F12">
        <f>IF($A12="","",IF(ISNA(MATCH($A12,'IMPORT STATS'!$K$6:$K$205,0)),"",IF(INDEX('IMPORT STATS'!$D$6:$D$205,MATCH($A12,'IMPORT STATS'!$K$6:$K$205,0))="","",INDEX('IMPORT STATS'!$D$6:$D$205,MATCH($A12,'IMPORT STATS'!$K$6:$K$205,0)))))</f>
        <v/>
      </c>
      <c r="G12">
        <f>IF(OR($E12="",$F12=""),"",($E12-$F12)*SETTINGS!$B$17)</f>
        <v/>
      </c>
      <c r="H12">
        <f>IF($A12="","",IF(AND($D12="",$G12=""),"",IF($D12="",$G12,IF($G12="",$D12,SETTINGS!$B$18*$D12+SETTINGS!$B$19*$G12))))</f>
        <v/>
      </c>
    </row>
    <row r="13">
      <c r="A13">
        <f>IF('TEAM RATINGS'!$A13="","",'TEAM RATINGS'!$A13)</f>
        <v/>
      </c>
      <c r="B13">
        <f>IF($A13="","",SUMIFS(CLEAN!$X$6:$X$1005,CLEAN!$P$6:$P$1005,$A13)+SUMIFS(CLEAN!$Z$6:$Z$1005,CLEAN!$N$6:$N$1005,$A13))</f>
        <v/>
      </c>
      <c r="C13">
        <f>IF($A13="","",SUMIFS(CLEAN!$Y$6:$Y$1005,CLEAN!$P$6:$P$1005,$A13)+SUMIFS(CLEAN!$AA$6:$AA$1005,CLEAN!$N$6:$N$1005,$A13))</f>
        <v/>
      </c>
      <c r="D13">
        <f>IF($A13="","",IF($C13&gt;0,$B13/$C13,""))</f>
        <v/>
      </c>
      <c r="E13">
        <f>IF($A13="","",IF(ISNA(MATCH($A13,'IMPORT STATS'!$K$6:$K$205,0)),"",IF(INDEX('IMPORT STATS'!$C$6:$C$205,MATCH($A13,'IMPORT STATS'!$K$6:$K$205,0))="","",INDEX('IMPORT STATS'!$C$6:$C$205,MATCH($A13,'IMPORT STATS'!$K$6:$K$205,0)))))</f>
        <v/>
      </c>
      <c r="F13">
        <f>IF($A13="","",IF(ISNA(MATCH($A13,'IMPORT STATS'!$K$6:$K$205,0)),"",IF(INDEX('IMPORT STATS'!$D$6:$D$205,MATCH($A13,'IMPORT STATS'!$K$6:$K$205,0))="","",INDEX('IMPORT STATS'!$D$6:$D$205,MATCH($A13,'IMPORT STATS'!$K$6:$K$205,0)))))</f>
        <v/>
      </c>
      <c r="G13">
        <f>IF(OR($E13="",$F13=""),"",($E13-$F13)*SETTINGS!$B$17)</f>
        <v/>
      </c>
      <c r="H13">
        <f>IF($A13="","",IF(AND($D13="",$G13=""),"",IF($D13="",$G13,IF($G13="",$D13,SETTINGS!$B$18*$D13+SETTINGS!$B$19*$G13))))</f>
        <v/>
      </c>
    </row>
    <row r="14">
      <c r="A14">
        <f>IF('TEAM RATINGS'!$A14="","",'TEAM RATINGS'!$A14)</f>
        <v/>
      </c>
      <c r="B14">
        <f>IF($A14="","",SUMIFS(CLEAN!$X$6:$X$1005,CLEAN!$P$6:$P$1005,$A14)+SUMIFS(CLEAN!$Z$6:$Z$1005,CLEAN!$N$6:$N$1005,$A14))</f>
        <v/>
      </c>
      <c r="C14">
        <f>IF($A14="","",SUMIFS(CLEAN!$Y$6:$Y$1005,CLEAN!$P$6:$P$1005,$A14)+SUMIFS(CLEAN!$AA$6:$AA$1005,CLEAN!$N$6:$N$1005,$A14))</f>
        <v/>
      </c>
      <c r="D14">
        <f>IF($A14="","",IF($C14&gt;0,$B14/$C14,""))</f>
        <v/>
      </c>
      <c r="E14">
        <f>IF($A14="","",IF(ISNA(MATCH($A14,'IMPORT STATS'!$K$6:$K$205,0)),"",IF(INDEX('IMPORT STATS'!$C$6:$C$205,MATCH($A14,'IMPORT STATS'!$K$6:$K$205,0))="","",INDEX('IMPORT STATS'!$C$6:$C$205,MATCH($A14,'IMPORT STATS'!$K$6:$K$205,0)))))</f>
        <v/>
      </c>
      <c r="F14">
        <f>IF($A14="","",IF(ISNA(MATCH($A14,'IMPORT STATS'!$K$6:$K$205,0)),"",IF(INDEX('IMPORT STATS'!$D$6:$D$205,MATCH($A14,'IMPORT STATS'!$K$6:$K$205,0))="","",INDEX('IMPORT STATS'!$D$6:$D$205,MATCH($A14,'IMPORT STATS'!$K$6:$K$205,0)))))</f>
        <v/>
      </c>
      <c r="G14">
        <f>IF(OR($E14="",$F14=""),"",($E14-$F14)*SETTINGS!$B$17)</f>
        <v/>
      </c>
      <c r="H14">
        <f>IF($A14="","",IF(AND($D14="",$G14=""),"",IF($D14="",$G14,IF($G14="",$D14,SETTINGS!$B$18*$D14+SETTINGS!$B$19*$G14))))</f>
        <v/>
      </c>
      <c r="K14">
        <f>IF(CLEAN!$A14="","",CLEAN!$A14)</f>
        <v/>
      </c>
      <c r="L14">
        <f>IF($K14="","",IF(ISNA(MATCH($K14,'MARKET LINES'!$A$6:$A$1005,0)),"",MATCH($K14,'MARKET LINES'!$A$6:$A$1005,0)))</f>
        <v/>
      </c>
      <c r="M14">
        <f>IF($L14="","",IF(INDEX('MARKET LINES'!$O$6:$O$1005,$L14)="","",INDEX('MARKET LINES'!$O$6:$O$1005,$L14)))</f>
        <v/>
      </c>
      <c r="N14">
        <f>IF(OR($L14="",$M14=""),"",IF(INDEX('MARKET LINES'!$D$6:$D$1005,$L14)="","",IF($M14=CLEAN!$AG14,-INDEX('MARKET LINES'!$D$6:$D$1005,$L14),IF($M14=CLEAN!$AF14,INDEX('MARKET LINES'!$D$6:$D$1005,$L14),""))))</f>
        <v/>
      </c>
      <c r="O14">
        <f>IF($L14="","",IF(INDEX('MARKET LINES'!$E$6:$E$1005,$L14)="","",INDEX('MARKET LINES'!$E$6:$E$1005,$L14)))</f>
        <v/>
      </c>
      <c r="P14">
        <f>IF($L14="","",IF(INDEX('MARKET LINES'!$G$6:$G$1005,$L14)="","",INDEX('MARKET LINES'!$G$6:$G$1005,$L14)))</f>
        <v/>
      </c>
      <c r="Q14">
        <f>IF(OR($L14="",$P14="",SETTINGS!$B$5=""),0,IF(SETTINGS!$B$5-$P14&gt;SETTINGS!$B$13,1,0))</f>
        <v/>
      </c>
      <c r="R14">
        <f>IF($K14="",0,IF(COUNTIF('MARKET LINES'!$A$6:$A$1005,$K14)&gt;1,1,0))</f>
        <v/>
      </c>
      <c r="S14">
        <f>IF($K14="",0,IF($L14="",1,IF(INDEX('MARKET LINES'!$D$6:$D$1005,$L14)="",1,0)))</f>
        <v/>
      </c>
      <c r="T14">
        <f>IF(CLEAN!$N14="","",IF(ISNA(MATCH(CLEAN!$N14,$A$6:$A$143,0)),"",IF(INDEX($E$6:$E$143,MATCH(CLEAN!$N14,$A$6:$A$143,0))="","",INDEX($E$6:$E$143,MATCH(CLEAN!$N14,$A$6:$A$143,0)))))</f>
        <v/>
      </c>
      <c r="U14">
        <f>IF(CLEAN!$N14="","",IF(ISNA(MATCH(CLEAN!$N14,$A$6:$A$143,0)),"",IF(INDEX($F$6:$F$143,MATCH(CLEAN!$N14,$A$6:$A$143,0))="","",INDEX($F$6:$F$143,MATCH(CLEAN!$N14,$A$6:$A$143,0)))))</f>
        <v/>
      </c>
      <c r="V14">
        <f>IF(CLEAN!$P14="","",IF(ISNA(MATCH(CLEAN!$P14,$A$6:$A$143,0)),"",IF(INDEX($E$6:$E$143,MATCH(CLEAN!$P14,$A$6:$A$143,0))="","",INDEX($E$6:$E$143,MATCH(CLEAN!$P14,$A$6:$A$143,0)))))</f>
        <v/>
      </c>
      <c r="W14">
        <f>IF(CLEAN!$P14="","",IF(ISNA(MATCH(CLEAN!$P14,$A$6:$A$143,0)),"",IF(INDEX($F$6:$F$143,MATCH(CLEAN!$P14,$A$6:$A$143,0))="","",INDEX($F$6:$F$143,MATCH(CLEAN!$P14,$A$6:$A$143,0)))))</f>
        <v/>
      </c>
      <c r="X14">
        <f>IF($K14="","",IF(CLEAN!$O14&lt;&gt;"FBS",0,IF(ISNA(MATCH(CLEAN!$N14,'TEAM RATINGS'!$A$6:$A$143,0)),0,IF(INDEX('TEAM RATINGS'!$F$6:$F$143,MATCH(CLEAN!$N14,'TEAM RATINGS'!$A$6:$A$143,0))="",0,INDEX('TEAM RATINGS'!$F$6:$F$143,MATCH(CLEAN!$N14,'TEAM RATINGS'!$A$6:$A$143,0))))))</f>
        <v/>
      </c>
      <c r="Y14">
        <f>IF($K14="","",IF(CLEAN!$Q14&lt;&gt;"FBS",0,IF(ISNA(MATCH(CLEAN!$P14,'TEAM RATINGS'!$A$6:$A$143,0)),0,IF(INDEX('TEAM RATINGS'!$F$6:$F$143,MATCH(CLEAN!$P14,'TEAM RATINGS'!$A$6:$A$143,0))="",0,INDEX('TEAM RATINGS'!$F$6:$F$143,MATCH(CLEAN!$P14,'TEAM RATINGS'!$A$6:$A$143,0))))))</f>
        <v/>
      </c>
      <c r="Z14">
        <f>IF($K14="","",MIN(IF($X14="",0,$X14),IF($Y14="",0,$Y14)))</f>
        <v/>
      </c>
    </row>
    <row r="15">
      <c r="A15">
        <f>IF('TEAM RATINGS'!$A15="","",'TEAM RATINGS'!$A15)</f>
        <v/>
      </c>
      <c r="B15">
        <f>IF($A15="","",SUMIFS(CLEAN!$X$6:$X$1005,CLEAN!$P$6:$P$1005,$A15)+SUMIFS(CLEAN!$Z$6:$Z$1005,CLEAN!$N$6:$N$1005,$A15))</f>
        <v/>
      </c>
      <c r="C15">
        <f>IF($A15="","",SUMIFS(CLEAN!$Y$6:$Y$1005,CLEAN!$P$6:$P$1005,$A15)+SUMIFS(CLEAN!$AA$6:$AA$1005,CLEAN!$N$6:$N$1005,$A15))</f>
        <v/>
      </c>
      <c r="D15">
        <f>IF($A15="","",IF($C15&gt;0,$B15/$C15,""))</f>
        <v/>
      </c>
      <c r="E15">
        <f>IF($A15="","",IF(ISNA(MATCH($A15,'IMPORT STATS'!$K$6:$K$205,0)),"",IF(INDEX('IMPORT STATS'!$C$6:$C$205,MATCH($A15,'IMPORT STATS'!$K$6:$K$205,0))="","",INDEX('IMPORT STATS'!$C$6:$C$205,MATCH($A15,'IMPORT STATS'!$K$6:$K$205,0)))))</f>
        <v/>
      </c>
      <c r="F15">
        <f>IF($A15="","",IF(ISNA(MATCH($A15,'IMPORT STATS'!$K$6:$K$205,0)),"",IF(INDEX('IMPORT STATS'!$D$6:$D$205,MATCH($A15,'IMPORT STATS'!$K$6:$K$205,0))="","",INDEX('IMPORT STATS'!$D$6:$D$205,MATCH($A15,'IMPORT STATS'!$K$6:$K$205,0)))))</f>
        <v/>
      </c>
      <c r="G15">
        <f>IF(OR($E15="",$F15=""),"",($E15-$F15)*SETTINGS!$B$17)</f>
        <v/>
      </c>
      <c r="H15">
        <f>IF($A15="","",IF(AND($D15="",$G15=""),"",IF($D15="",$G15,IF($G15="",$D15,SETTINGS!$B$18*$D15+SETTINGS!$B$19*$G15))))</f>
        <v/>
      </c>
      <c r="K15">
        <f>IF(CLEAN!$A15="","",CLEAN!$A15)</f>
        <v/>
      </c>
      <c r="L15">
        <f>IF($K15="","",IF(ISNA(MATCH($K15,'MARKET LINES'!$A$6:$A$1005,0)),"",MATCH($K15,'MARKET LINES'!$A$6:$A$1005,0)))</f>
        <v/>
      </c>
      <c r="M15">
        <f>IF($L15="","",IF(INDEX('MARKET LINES'!$O$6:$O$1005,$L15)="","",INDEX('MARKET LINES'!$O$6:$O$1005,$L15)))</f>
        <v/>
      </c>
      <c r="N15">
        <f>IF(OR($L15="",$M15=""),"",IF(INDEX('MARKET LINES'!$D$6:$D$1005,$L15)="","",IF($M15=CLEAN!$AG15,-INDEX('MARKET LINES'!$D$6:$D$1005,$L15),IF($M15=CLEAN!$AF15,INDEX('MARKET LINES'!$D$6:$D$1005,$L15),""))))</f>
        <v/>
      </c>
      <c r="O15">
        <f>IF($L15="","",IF(INDEX('MARKET LINES'!$E$6:$E$1005,$L15)="","",INDEX('MARKET LINES'!$E$6:$E$1005,$L15)))</f>
        <v/>
      </c>
      <c r="P15">
        <f>IF($L15="","",IF(INDEX('MARKET LINES'!$G$6:$G$1005,$L15)="","",INDEX('MARKET LINES'!$G$6:$G$1005,$L15)))</f>
        <v/>
      </c>
      <c r="Q15">
        <f>IF(OR($L15="",$P15="",SETTINGS!$B$5=""),0,IF(SETTINGS!$B$5-$P15&gt;SETTINGS!$B$13,1,0))</f>
        <v/>
      </c>
      <c r="R15">
        <f>IF($K15="",0,IF(COUNTIF('MARKET LINES'!$A$6:$A$1005,$K15)&gt;1,1,0))</f>
        <v/>
      </c>
      <c r="S15">
        <f>IF($K15="",0,IF($L15="",1,IF(INDEX('MARKET LINES'!$D$6:$D$1005,$L15)="",1,0)))</f>
        <v/>
      </c>
      <c r="T15">
        <f>IF(CLEAN!$N15="","",IF(ISNA(MATCH(CLEAN!$N15,$A$6:$A$143,0)),"",IF(INDEX($E$6:$E$143,MATCH(CLEAN!$N15,$A$6:$A$143,0))="","",INDEX($E$6:$E$143,MATCH(CLEAN!$N15,$A$6:$A$143,0)))))</f>
        <v/>
      </c>
      <c r="U15">
        <f>IF(CLEAN!$N15="","",IF(ISNA(MATCH(CLEAN!$N15,$A$6:$A$143,0)),"",IF(INDEX($F$6:$F$143,MATCH(CLEAN!$N15,$A$6:$A$143,0))="","",INDEX($F$6:$F$143,MATCH(CLEAN!$N15,$A$6:$A$143,0)))))</f>
        <v/>
      </c>
      <c r="V15">
        <f>IF(CLEAN!$P15="","",IF(ISNA(MATCH(CLEAN!$P15,$A$6:$A$143,0)),"",IF(INDEX($E$6:$E$143,MATCH(CLEAN!$P15,$A$6:$A$143,0))="","",INDEX($E$6:$E$143,MATCH(CLEAN!$P15,$A$6:$A$143,0)))))</f>
        <v/>
      </c>
      <c r="W15">
        <f>IF(CLEAN!$P15="","",IF(ISNA(MATCH(CLEAN!$P15,$A$6:$A$143,0)),"",IF(INDEX($F$6:$F$143,MATCH(CLEAN!$P15,$A$6:$A$143,0))="","",INDEX($F$6:$F$143,MATCH(CLEAN!$P15,$A$6:$A$143,0)))))</f>
        <v/>
      </c>
      <c r="X15">
        <f>IF($K15="","",IF(CLEAN!$O15&lt;&gt;"FBS",0,IF(ISNA(MATCH(CLEAN!$N15,'TEAM RATINGS'!$A$6:$A$143,0)),0,IF(INDEX('TEAM RATINGS'!$F$6:$F$143,MATCH(CLEAN!$N15,'TEAM RATINGS'!$A$6:$A$143,0))="",0,INDEX('TEAM RATINGS'!$F$6:$F$143,MATCH(CLEAN!$N15,'TEAM RATINGS'!$A$6:$A$143,0))))))</f>
        <v/>
      </c>
      <c r="Y15">
        <f>IF($K15="","",IF(CLEAN!$Q15&lt;&gt;"FBS",0,IF(ISNA(MATCH(CLEAN!$P15,'TEAM RATINGS'!$A$6:$A$143,0)),0,IF(INDEX('TEAM RATINGS'!$F$6:$F$143,MATCH(CLEAN!$P15,'TEAM RATINGS'!$A$6:$A$143,0))="",0,INDEX('TEAM RATINGS'!$F$6:$F$143,MATCH(CLEAN!$P15,'TEAM RATINGS'!$A$6:$A$143,0))))))</f>
        <v/>
      </c>
      <c r="Z15">
        <f>IF($K15="","",MIN(IF($X15="",0,$X15),IF($Y15="",0,$Y15)))</f>
        <v/>
      </c>
    </row>
    <row r="16">
      <c r="A16">
        <f>IF('TEAM RATINGS'!$A16="","",'TEAM RATINGS'!$A16)</f>
        <v/>
      </c>
      <c r="B16">
        <f>IF($A16="","",SUMIFS(CLEAN!$X$6:$X$1005,CLEAN!$P$6:$P$1005,$A16)+SUMIFS(CLEAN!$Z$6:$Z$1005,CLEAN!$N$6:$N$1005,$A16))</f>
        <v/>
      </c>
      <c r="C16">
        <f>IF($A16="","",SUMIFS(CLEAN!$Y$6:$Y$1005,CLEAN!$P$6:$P$1005,$A16)+SUMIFS(CLEAN!$AA$6:$AA$1005,CLEAN!$N$6:$N$1005,$A16))</f>
        <v/>
      </c>
      <c r="D16">
        <f>IF($A16="","",IF($C16&gt;0,$B16/$C16,""))</f>
        <v/>
      </c>
      <c r="E16">
        <f>IF($A16="","",IF(ISNA(MATCH($A16,'IMPORT STATS'!$K$6:$K$205,0)),"",IF(INDEX('IMPORT STATS'!$C$6:$C$205,MATCH($A16,'IMPORT STATS'!$K$6:$K$205,0))="","",INDEX('IMPORT STATS'!$C$6:$C$205,MATCH($A16,'IMPORT STATS'!$K$6:$K$205,0)))))</f>
        <v/>
      </c>
      <c r="F16">
        <f>IF($A16="","",IF(ISNA(MATCH($A16,'IMPORT STATS'!$K$6:$K$205,0)),"",IF(INDEX('IMPORT STATS'!$D$6:$D$205,MATCH($A16,'IMPORT STATS'!$K$6:$K$205,0))="","",INDEX('IMPORT STATS'!$D$6:$D$205,MATCH($A16,'IMPORT STATS'!$K$6:$K$205,0)))))</f>
        <v/>
      </c>
      <c r="G16">
        <f>IF(OR($E16="",$F16=""),"",($E16-$F16)*SETTINGS!$B$17)</f>
        <v/>
      </c>
      <c r="H16">
        <f>IF($A16="","",IF(AND($D16="",$G16=""),"",IF($D16="",$G16,IF($G16="",$D16,SETTINGS!$B$18*$D16+SETTINGS!$B$19*$G16))))</f>
        <v/>
      </c>
    </row>
    <row r="17">
      <c r="A17">
        <f>IF('TEAM RATINGS'!$A17="","",'TEAM RATINGS'!$A17)</f>
        <v/>
      </c>
      <c r="B17">
        <f>IF($A17="","",SUMIFS(CLEAN!$X$6:$X$1005,CLEAN!$P$6:$P$1005,$A17)+SUMIFS(CLEAN!$Z$6:$Z$1005,CLEAN!$N$6:$N$1005,$A17))</f>
        <v/>
      </c>
      <c r="C17">
        <f>IF($A17="","",SUMIFS(CLEAN!$Y$6:$Y$1005,CLEAN!$P$6:$P$1005,$A17)+SUMIFS(CLEAN!$AA$6:$AA$1005,CLEAN!$N$6:$N$1005,$A17))</f>
        <v/>
      </c>
      <c r="D17">
        <f>IF($A17="","",IF($C17&gt;0,$B17/$C17,""))</f>
        <v/>
      </c>
      <c r="E17">
        <f>IF($A17="","",IF(ISNA(MATCH($A17,'IMPORT STATS'!$K$6:$K$205,0)),"",IF(INDEX('IMPORT STATS'!$C$6:$C$205,MATCH($A17,'IMPORT STATS'!$K$6:$K$205,0))="","",INDEX('IMPORT STATS'!$C$6:$C$205,MATCH($A17,'IMPORT STATS'!$K$6:$K$205,0)))))</f>
        <v/>
      </c>
      <c r="F17">
        <f>IF($A17="","",IF(ISNA(MATCH($A17,'IMPORT STATS'!$K$6:$K$205,0)),"",IF(INDEX('IMPORT STATS'!$D$6:$D$205,MATCH($A17,'IMPORT STATS'!$K$6:$K$205,0))="","",INDEX('IMPORT STATS'!$D$6:$D$205,MATCH($A17,'IMPORT STATS'!$K$6:$K$205,0)))))</f>
        <v/>
      </c>
      <c r="G17">
        <f>IF(OR($E17="",$F17=""),"",($E17-$F17)*SETTINGS!$B$17)</f>
        <v/>
      </c>
      <c r="H17">
        <f>IF($A17="","",IF(AND($D17="",$G17=""),"",IF($D17="",$G17,IF($G17="",$D17,SETTINGS!$B$18*$D17+SETTINGS!$B$19*$G17))))</f>
        <v/>
      </c>
    </row>
    <row r="18">
      <c r="A18">
        <f>IF('TEAM RATINGS'!$A18="","",'TEAM RATINGS'!$A18)</f>
        <v/>
      </c>
      <c r="B18">
        <f>IF($A18="","",SUMIFS(CLEAN!$X$6:$X$1005,CLEAN!$P$6:$P$1005,$A18)+SUMIFS(CLEAN!$Z$6:$Z$1005,CLEAN!$N$6:$N$1005,$A18))</f>
        <v/>
      </c>
      <c r="C18">
        <f>IF($A18="","",SUMIFS(CLEAN!$Y$6:$Y$1005,CLEAN!$P$6:$P$1005,$A18)+SUMIFS(CLEAN!$AA$6:$AA$1005,CLEAN!$N$6:$N$1005,$A18))</f>
        <v/>
      </c>
      <c r="D18">
        <f>IF($A18="","",IF($C18&gt;0,$B18/$C18,""))</f>
        <v/>
      </c>
      <c r="E18">
        <f>IF($A18="","",IF(ISNA(MATCH($A18,'IMPORT STATS'!$K$6:$K$205,0)),"",IF(INDEX('IMPORT STATS'!$C$6:$C$205,MATCH($A18,'IMPORT STATS'!$K$6:$K$205,0))="","",INDEX('IMPORT STATS'!$C$6:$C$205,MATCH($A18,'IMPORT STATS'!$K$6:$K$205,0)))))</f>
        <v/>
      </c>
      <c r="F18">
        <f>IF($A18="","",IF(ISNA(MATCH($A18,'IMPORT STATS'!$K$6:$K$205,0)),"",IF(INDEX('IMPORT STATS'!$D$6:$D$205,MATCH($A18,'IMPORT STATS'!$K$6:$K$205,0))="","",INDEX('IMPORT STATS'!$D$6:$D$205,MATCH($A18,'IMPORT STATS'!$K$6:$K$205,0)))))</f>
        <v/>
      </c>
      <c r="G18">
        <f>IF(OR($E18="",$F18=""),"",($E18-$F18)*SETTINGS!$B$17)</f>
        <v/>
      </c>
      <c r="H18">
        <f>IF($A18="","",IF(AND($D18="",$G18=""),"",IF($D18="",$G18,IF($G18="",$D18,SETTINGS!$B$18*$D18+SETTINGS!$B$19*$G18))))</f>
        <v/>
      </c>
    </row>
    <row r="19">
      <c r="A19">
        <f>IF('TEAM RATINGS'!$A19="","",'TEAM RATINGS'!$A19)</f>
        <v/>
      </c>
      <c r="B19">
        <f>IF($A19="","",SUMIFS(CLEAN!$X$6:$X$1005,CLEAN!$P$6:$P$1005,$A19)+SUMIFS(CLEAN!$Z$6:$Z$1005,CLEAN!$N$6:$N$1005,$A19))</f>
        <v/>
      </c>
      <c r="C19">
        <f>IF($A19="","",SUMIFS(CLEAN!$Y$6:$Y$1005,CLEAN!$P$6:$P$1005,$A19)+SUMIFS(CLEAN!$AA$6:$AA$1005,CLEAN!$N$6:$N$1005,$A19))</f>
        <v/>
      </c>
      <c r="D19">
        <f>IF($A19="","",IF($C19&gt;0,$B19/$C19,""))</f>
        <v/>
      </c>
      <c r="E19">
        <f>IF($A19="","",IF(ISNA(MATCH($A19,'IMPORT STATS'!$K$6:$K$205,0)),"",IF(INDEX('IMPORT STATS'!$C$6:$C$205,MATCH($A19,'IMPORT STATS'!$K$6:$K$205,0))="","",INDEX('IMPORT STATS'!$C$6:$C$205,MATCH($A19,'IMPORT STATS'!$K$6:$K$205,0)))))</f>
        <v/>
      </c>
      <c r="F19">
        <f>IF($A19="","",IF(ISNA(MATCH($A19,'IMPORT STATS'!$K$6:$K$205,0)),"",IF(INDEX('IMPORT STATS'!$D$6:$D$205,MATCH($A19,'IMPORT STATS'!$K$6:$K$205,0))="","",INDEX('IMPORT STATS'!$D$6:$D$205,MATCH($A19,'IMPORT STATS'!$K$6:$K$205,0)))))</f>
        <v/>
      </c>
      <c r="G19">
        <f>IF(OR($E19="",$F19=""),"",($E19-$F19)*SETTINGS!$B$17)</f>
        <v/>
      </c>
      <c r="H19">
        <f>IF($A19="","",IF(AND($D19="",$G19=""),"",IF($D19="",$G19,IF($G19="",$D19,SETTINGS!$B$18*$D19+SETTINGS!$B$19*$G19))))</f>
        <v/>
      </c>
    </row>
    <row r="20">
      <c r="A20">
        <f>IF('TEAM RATINGS'!$A20="","",'TEAM RATINGS'!$A20)</f>
        <v/>
      </c>
      <c r="B20">
        <f>IF($A20="","",SUMIFS(CLEAN!$X$6:$X$1005,CLEAN!$P$6:$P$1005,$A20)+SUMIFS(CLEAN!$Z$6:$Z$1005,CLEAN!$N$6:$N$1005,$A20))</f>
        <v/>
      </c>
      <c r="C20">
        <f>IF($A20="","",SUMIFS(CLEAN!$Y$6:$Y$1005,CLEAN!$P$6:$P$1005,$A20)+SUMIFS(CLEAN!$AA$6:$AA$1005,CLEAN!$N$6:$N$1005,$A20))</f>
        <v/>
      </c>
      <c r="D20">
        <f>IF($A20="","",IF($C20&gt;0,$B20/$C20,""))</f>
        <v/>
      </c>
      <c r="E20">
        <f>IF($A20="","",IF(ISNA(MATCH($A20,'IMPORT STATS'!$K$6:$K$205,0)),"",IF(INDEX('IMPORT STATS'!$C$6:$C$205,MATCH($A20,'IMPORT STATS'!$K$6:$K$205,0))="","",INDEX('IMPORT STATS'!$C$6:$C$205,MATCH($A20,'IMPORT STATS'!$K$6:$K$205,0)))))</f>
        <v/>
      </c>
      <c r="F20">
        <f>IF($A20="","",IF(ISNA(MATCH($A20,'IMPORT STATS'!$K$6:$K$205,0)),"",IF(INDEX('IMPORT STATS'!$D$6:$D$205,MATCH($A20,'IMPORT STATS'!$K$6:$K$205,0))="","",INDEX('IMPORT STATS'!$D$6:$D$205,MATCH($A20,'IMPORT STATS'!$K$6:$K$205,0)))))</f>
        <v/>
      </c>
      <c r="G20">
        <f>IF(OR($E20="",$F20=""),"",($E20-$F20)*SETTINGS!$B$17)</f>
        <v/>
      </c>
      <c r="H20">
        <f>IF($A20="","",IF(AND($D20="",$G20=""),"",IF($D20="",$G20,IF($G20="",$D20,SETTINGS!$B$18*$D20+SETTINGS!$B$19*$G20))))</f>
        <v/>
      </c>
    </row>
    <row r="21">
      <c r="A21">
        <f>IF('TEAM RATINGS'!$A21="","",'TEAM RATINGS'!$A21)</f>
        <v/>
      </c>
      <c r="B21">
        <f>IF($A21="","",SUMIFS(CLEAN!$X$6:$X$1005,CLEAN!$P$6:$P$1005,$A21)+SUMIFS(CLEAN!$Z$6:$Z$1005,CLEAN!$N$6:$N$1005,$A21))</f>
        <v/>
      </c>
      <c r="C21">
        <f>IF($A21="","",SUMIFS(CLEAN!$Y$6:$Y$1005,CLEAN!$P$6:$P$1005,$A21)+SUMIFS(CLEAN!$AA$6:$AA$1005,CLEAN!$N$6:$N$1005,$A21))</f>
        <v/>
      </c>
      <c r="D21">
        <f>IF($A21="","",IF($C21&gt;0,$B21/$C21,""))</f>
        <v/>
      </c>
      <c r="E21">
        <f>IF($A21="","",IF(ISNA(MATCH($A21,'IMPORT STATS'!$K$6:$K$205,0)),"",IF(INDEX('IMPORT STATS'!$C$6:$C$205,MATCH($A21,'IMPORT STATS'!$K$6:$K$205,0))="","",INDEX('IMPORT STATS'!$C$6:$C$205,MATCH($A21,'IMPORT STATS'!$K$6:$K$205,0)))))</f>
        <v/>
      </c>
      <c r="F21">
        <f>IF($A21="","",IF(ISNA(MATCH($A21,'IMPORT STATS'!$K$6:$K$205,0)),"",IF(INDEX('IMPORT STATS'!$D$6:$D$205,MATCH($A21,'IMPORT STATS'!$K$6:$K$205,0))="","",INDEX('IMPORT STATS'!$D$6:$D$205,MATCH($A21,'IMPORT STATS'!$K$6:$K$205,0)))))</f>
        <v/>
      </c>
      <c r="G21">
        <f>IF(OR($E21="",$F21=""),"",($E21-$F21)*SETTINGS!$B$17)</f>
        <v/>
      </c>
      <c r="H21">
        <f>IF($A21="","",IF(AND($D21="",$G21=""),"",IF($D21="",$G21,IF($G21="",$D21,SETTINGS!$B$18*$D21+SETTINGS!$B$19*$G21))))</f>
        <v/>
      </c>
    </row>
    <row r="22">
      <c r="A22">
        <f>IF('TEAM RATINGS'!$A22="","",'TEAM RATINGS'!$A22)</f>
        <v/>
      </c>
      <c r="B22">
        <f>IF($A22="","",SUMIFS(CLEAN!$X$6:$X$1005,CLEAN!$P$6:$P$1005,$A22)+SUMIFS(CLEAN!$Z$6:$Z$1005,CLEAN!$N$6:$N$1005,$A22))</f>
        <v/>
      </c>
      <c r="C22">
        <f>IF($A22="","",SUMIFS(CLEAN!$Y$6:$Y$1005,CLEAN!$P$6:$P$1005,$A22)+SUMIFS(CLEAN!$AA$6:$AA$1005,CLEAN!$N$6:$N$1005,$A22))</f>
        <v/>
      </c>
      <c r="D22">
        <f>IF($A22="","",IF($C22&gt;0,$B22/$C22,""))</f>
        <v/>
      </c>
      <c r="E22">
        <f>IF($A22="","",IF(ISNA(MATCH($A22,'IMPORT STATS'!$K$6:$K$205,0)),"",IF(INDEX('IMPORT STATS'!$C$6:$C$205,MATCH($A22,'IMPORT STATS'!$K$6:$K$205,0))="","",INDEX('IMPORT STATS'!$C$6:$C$205,MATCH($A22,'IMPORT STATS'!$K$6:$K$205,0)))))</f>
        <v/>
      </c>
      <c r="F22">
        <f>IF($A22="","",IF(ISNA(MATCH($A22,'IMPORT STATS'!$K$6:$K$205,0)),"",IF(INDEX('IMPORT STATS'!$D$6:$D$205,MATCH($A22,'IMPORT STATS'!$K$6:$K$205,0))="","",INDEX('IMPORT STATS'!$D$6:$D$205,MATCH($A22,'IMPORT STATS'!$K$6:$K$205,0)))))</f>
        <v/>
      </c>
      <c r="G22">
        <f>IF(OR($E22="",$F22=""),"",($E22-$F22)*SETTINGS!$B$17)</f>
        <v/>
      </c>
      <c r="H22">
        <f>IF($A22="","",IF(AND($D22="",$G22=""),"",IF($D22="",$G22,IF($G22="",$D22,SETTINGS!$B$18*$D22+SETTINGS!$B$19*$G22))))</f>
        <v/>
      </c>
    </row>
    <row r="23">
      <c r="A23">
        <f>IF('TEAM RATINGS'!$A23="","",'TEAM RATINGS'!$A23)</f>
        <v/>
      </c>
      <c r="B23">
        <f>IF($A23="","",SUMIFS(CLEAN!$X$6:$X$1005,CLEAN!$P$6:$P$1005,$A23)+SUMIFS(CLEAN!$Z$6:$Z$1005,CLEAN!$N$6:$N$1005,$A23))</f>
        <v/>
      </c>
      <c r="C23">
        <f>IF($A23="","",SUMIFS(CLEAN!$Y$6:$Y$1005,CLEAN!$P$6:$P$1005,$A23)+SUMIFS(CLEAN!$AA$6:$AA$1005,CLEAN!$N$6:$N$1005,$A23))</f>
        <v/>
      </c>
      <c r="D23">
        <f>IF($A23="","",IF($C23&gt;0,$B23/$C23,""))</f>
        <v/>
      </c>
      <c r="E23">
        <f>IF($A23="","",IF(ISNA(MATCH($A23,'IMPORT STATS'!$K$6:$K$205,0)),"",IF(INDEX('IMPORT STATS'!$C$6:$C$205,MATCH($A23,'IMPORT STATS'!$K$6:$K$205,0))="","",INDEX('IMPORT STATS'!$C$6:$C$205,MATCH($A23,'IMPORT STATS'!$K$6:$K$205,0)))))</f>
        <v/>
      </c>
      <c r="F23">
        <f>IF($A23="","",IF(ISNA(MATCH($A23,'IMPORT STATS'!$K$6:$K$205,0)),"",IF(INDEX('IMPORT STATS'!$D$6:$D$205,MATCH($A23,'IMPORT STATS'!$K$6:$K$205,0))="","",INDEX('IMPORT STATS'!$D$6:$D$205,MATCH($A23,'IMPORT STATS'!$K$6:$K$205,0)))))</f>
        <v/>
      </c>
      <c r="G23">
        <f>IF(OR($E23="",$F23=""),"",($E23-$F23)*SETTINGS!$B$17)</f>
        <v/>
      </c>
      <c r="H23">
        <f>IF($A23="","",IF(AND($D23="",$G23=""),"",IF($D23="",$G23,IF($G23="",$D23,SETTINGS!$B$18*$D23+SETTINGS!$B$19*$G23))))</f>
        <v/>
      </c>
    </row>
    <row r="24">
      <c r="A24">
        <f>IF('TEAM RATINGS'!$A24="","",'TEAM RATINGS'!$A24)</f>
        <v/>
      </c>
      <c r="B24">
        <f>IF($A24="","",SUMIFS(CLEAN!$X$6:$X$1005,CLEAN!$P$6:$P$1005,$A24)+SUMIFS(CLEAN!$Z$6:$Z$1005,CLEAN!$N$6:$N$1005,$A24))</f>
        <v/>
      </c>
      <c r="C24">
        <f>IF($A24="","",SUMIFS(CLEAN!$Y$6:$Y$1005,CLEAN!$P$6:$P$1005,$A24)+SUMIFS(CLEAN!$AA$6:$AA$1005,CLEAN!$N$6:$N$1005,$A24))</f>
        <v/>
      </c>
      <c r="D24">
        <f>IF($A24="","",IF($C24&gt;0,$B24/$C24,""))</f>
        <v/>
      </c>
      <c r="E24">
        <f>IF($A24="","",IF(ISNA(MATCH($A24,'IMPORT STATS'!$K$6:$K$205,0)),"",IF(INDEX('IMPORT STATS'!$C$6:$C$205,MATCH($A24,'IMPORT STATS'!$K$6:$K$205,0))="","",INDEX('IMPORT STATS'!$C$6:$C$205,MATCH($A24,'IMPORT STATS'!$K$6:$K$205,0)))))</f>
        <v/>
      </c>
      <c r="F24">
        <f>IF($A24="","",IF(ISNA(MATCH($A24,'IMPORT STATS'!$K$6:$K$205,0)),"",IF(INDEX('IMPORT STATS'!$D$6:$D$205,MATCH($A24,'IMPORT STATS'!$K$6:$K$205,0))="","",INDEX('IMPORT STATS'!$D$6:$D$205,MATCH($A24,'IMPORT STATS'!$K$6:$K$205,0)))))</f>
        <v/>
      </c>
      <c r="G24">
        <f>IF(OR($E24="",$F24=""),"",($E24-$F24)*SETTINGS!$B$17)</f>
        <v/>
      </c>
      <c r="H24">
        <f>IF($A24="","",IF(AND($D24="",$G24=""),"",IF($D24="",$G24,IF($G24="",$D24,SETTINGS!$B$18*$D24+SETTINGS!$B$19*$G24))))</f>
        <v/>
      </c>
    </row>
    <row r="25">
      <c r="A25">
        <f>IF('TEAM RATINGS'!$A25="","",'TEAM RATINGS'!$A25)</f>
        <v/>
      </c>
      <c r="B25">
        <f>IF($A25="","",SUMIFS(CLEAN!$X$6:$X$1005,CLEAN!$P$6:$P$1005,$A25)+SUMIFS(CLEAN!$Z$6:$Z$1005,CLEAN!$N$6:$N$1005,$A25))</f>
        <v/>
      </c>
      <c r="C25">
        <f>IF($A25="","",SUMIFS(CLEAN!$Y$6:$Y$1005,CLEAN!$P$6:$P$1005,$A25)+SUMIFS(CLEAN!$AA$6:$AA$1005,CLEAN!$N$6:$N$1005,$A25))</f>
        <v/>
      </c>
      <c r="D25">
        <f>IF($A25="","",IF($C25&gt;0,$B25/$C25,""))</f>
        <v/>
      </c>
      <c r="E25">
        <f>IF($A25="","",IF(ISNA(MATCH($A25,'IMPORT STATS'!$K$6:$K$205,0)),"",IF(INDEX('IMPORT STATS'!$C$6:$C$205,MATCH($A25,'IMPORT STATS'!$K$6:$K$205,0))="","",INDEX('IMPORT STATS'!$C$6:$C$205,MATCH($A25,'IMPORT STATS'!$K$6:$K$205,0)))))</f>
        <v/>
      </c>
      <c r="F25">
        <f>IF($A25="","",IF(ISNA(MATCH($A25,'IMPORT STATS'!$K$6:$K$205,0)),"",IF(INDEX('IMPORT STATS'!$D$6:$D$205,MATCH($A25,'IMPORT STATS'!$K$6:$K$205,0))="","",INDEX('IMPORT STATS'!$D$6:$D$205,MATCH($A25,'IMPORT STATS'!$K$6:$K$205,0)))))</f>
        <v/>
      </c>
      <c r="G25">
        <f>IF(OR($E25="",$F25=""),"",($E25-$F25)*SETTINGS!$B$17)</f>
        <v/>
      </c>
      <c r="H25">
        <f>IF($A25="","",IF(AND($D25="",$G25=""),"",IF($D25="",$G25,IF($G25="",$D25,SETTINGS!$B$18*$D25+SETTINGS!$B$19*$G25))))</f>
        <v/>
      </c>
    </row>
    <row r="26">
      <c r="A26">
        <f>IF('TEAM RATINGS'!$A26="","",'TEAM RATINGS'!$A26)</f>
        <v/>
      </c>
      <c r="B26">
        <f>IF($A26="","",SUMIFS(CLEAN!$X$6:$X$1005,CLEAN!$P$6:$P$1005,$A26)+SUMIFS(CLEAN!$Z$6:$Z$1005,CLEAN!$N$6:$N$1005,$A26))</f>
        <v/>
      </c>
      <c r="C26">
        <f>IF($A26="","",SUMIFS(CLEAN!$Y$6:$Y$1005,CLEAN!$P$6:$P$1005,$A26)+SUMIFS(CLEAN!$AA$6:$AA$1005,CLEAN!$N$6:$N$1005,$A26))</f>
        <v/>
      </c>
      <c r="D26">
        <f>IF($A26="","",IF($C26&gt;0,$B26/$C26,""))</f>
        <v/>
      </c>
      <c r="E26">
        <f>IF($A26="","",IF(ISNA(MATCH($A26,'IMPORT STATS'!$K$6:$K$205,0)),"",IF(INDEX('IMPORT STATS'!$C$6:$C$205,MATCH($A26,'IMPORT STATS'!$K$6:$K$205,0))="","",INDEX('IMPORT STATS'!$C$6:$C$205,MATCH($A26,'IMPORT STATS'!$K$6:$K$205,0)))))</f>
        <v/>
      </c>
      <c r="F26">
        <f>IF($A26="","",IF(ISNA(MATCH($A26,'IMPORT STATS'!$K$6:$K$205,0)),"",IF(INDEX('IMPORT STATS'!$D$6:$D$205,MATCH($A26,'IMPORT STATS'!$K$6:$K$205,0))="","",INDEX('IMPORT STATS'!$D$6:$D$205,MATCH($A26,'IMPORT STATS'!$K$6:$K$205,0)))))</f>
        <v/>
      </c>
      <c r="G26">
        <f>IF(OR($E26="",$F26=""),"",($E26-$F26)*SETTINGS!$B$17)</f>
        <v/>
      </c>
      <c r="H26">
        <f>IF($A26="","",IF(AND($D26="",$G26=""),"",IF($D26="",$G26,IF($G26="",$D26,SETTINGS!$B$18*$D26+SETTINGS!$B$19*$G26))))</f>
        <v/>
      </c>
    </row>
    <row r="27">
      <c r="A27">
        <f>IF('TEAM RATINGS'!$A27="","",'TEAM RATINGS'!$A27)</f>
        <v/>
      </c>
      <c r="B27">
        <f>IF($A27="","",SUMIFS(CLEAN!$X$6:$X$1005,CLEAN!$P$6:$P$1005,$A27)+SUMIFS(CLEAN!$Z$6:$Z$1005,CLEAN!$N$6:$N$1005,$A27))</f>
        <v/>
      </c>
      <c r="C27">
        <f>IF($A27="","",SUMIFS(CLEAN!$Y$6:$Y$1005,CLEAN!$P$6:$P$1005,$A27)+SUMIFS(CLEAN!$AA$6:$AA$1005,CLEAN!$N$6:$N$1005,$A27))</f>
        <v/>
      </c>
      <c r="D27">
        <f>IF($A27="","",IF($C27&gt;0,$B27/$C27,""))</f>
        <v/>
      </c>
      <c r="E27">
        <f>IF($A27="","",IF(ISNA(MATCH($A27,'IMPORT STATS'!$K$6:$K$205,0)),"",IF(INDEX('IMPORT STATS'!$C$6:$C$205,MATCH($A27,'IMPORT STATS'!$K$6:$K$205,0))="","",INDEX('IMPORT STATS'!$C$6:$C$205,MATCH($A27,'IMPORT STATS'!$K$6:$K$205,0)))))</f>
        <v/>
      </c>
      <c r="F27">
        <f>IF($A27="","",IF(ISNA(MATCH($A27,'IMPORT STATS'!$K$6:$K$205,0)),"",IF(INDEX('IMPORT STATS'!$D$6:$D$205,MATCH($A27,'IMPORT STATS'!$K$6:$K$205,0))="","",INDEX('IMPORT STATS'!$D$6:$D$205,MATCH($A27,'IMPORT STATS'!$K$6:$K$205,0)))))</f>
        <v/>
      </c>
      <c r="G27">
        <f>IF(OR($E27="",$F27=""),"",($E27-$F27)*SETTINGS!$B$17)</f>
        <v/>
      </c>
      <c r="H27">
        <f>IF($A27="","",IF(AND($D27="",$G27=""),"",IF($D27="",$G27,IF($G27="",$D27,SETTINGS!$B$18*$D27+SETTINGS!$B$19*$G27))))</f>
        <v/>
      </c>
    </row>
    <row r="28">
      <c r="A28">
        <f>IF('TEAM RATINGS'!$A28="","",'TEAM RATINGS'!$A28)</f>
        <v/>
      </c>
      <c r="B28">
        <f>IF($A28="","",SUMIFS(CLEAN!$X$6:$X$1005,CLEAN!$P$6:$P$1005,$A28)+SUMIFS(CLEAN!$Z$6:$Z$1005,CLEAN!$N$6:$N$1005,$A28))</f>
        <v/>
      </c>
      <c r="C28">
        <f>IF($A28="","",SUMIFS(CLEAN!$Y$6:$Y$1005,CLEAN!$P$6:$P$1005,$A28)+SUMIFS(CLEAN!$AA$6:$AA$1005,CLEAN!$N$6:$N$1005,$A28))</f>
        <v/>
      </c>
      <c r="D28">
        <f>IF($A28="","",IF($C28&gt;0,$B28/$C28,""))</f>
        <v/>
      </c>
      <c r="E28">
        <f>IF($A28="","",IF(ISNA(MATCH($A28,'IMPORT STATS'!$K$6:$K$205,0)),"",IF(INDEX('IMPORT STATS'!$C$6:$C$205,MATCH($A28,'IMPORT STATS'!$K$6:$K$205,0))="","",INDEX('IMPORT STATS'!$C$6:$C$205,MATCH($A28,'IMPORT STATS'!$K$6:$K$205,0)))))</f>
        <v/>
      </c>
      <c r="F28">
        <f>IF($A28="","",IF(ISNA(MATCH($A28,'IMPORT STATS'!$K$6:$K$205,0)),"",IF(INDEX('IMPORT STATS'!$D$6:$D$205,MATCH($A28,'IMPORT STATS'!$K$6:$K$205,0))="","",INDEX('IMPORT STATS'!$D$6:$D$205,MATCH($A28,'IMPORT STATS'!$K$6:$K$205,0)))))</f>
        <v/>
      </c>
      <c r="G28">
        <f>IF(OR($E28="",$F28=""),"",($E28-$F28)*SETTINGS!$B$17)</f>
        <v/>
      </c>
      <c r="H28">
        <f>IF($A28="","",IF(AND($D28="",$G28=""),"",IF($D28="",$G28,IF($G28="",$D28,SETTINGS!$B$18*$D28+SETTINGS!$B$19*$G28))))</f>
        <v/>
      </c>
    </row>
    <row r="29">
      <c r="A29">
        <f>IF('TEAM RATINGS'!$A29="","",'TEAM RATINGS'!$A29)</f>
        <v/>
      </c>
      <c r="B29">
        <f>IF($A29="","",SUMIFS(CLEAN!$X$6:$X$1005,CLEAN!$P$6:$P$1005,$A29)+SUMIFS(CLEAN!$Z$6:$Z$1005,CLEAN!$N$6:$N$1005,$A29))</f>
        <v/>
      </c>
      <c r="C29">
        <f>IF($A29="","",SUMIFS(CLEAN!$Y$6:$Y$1005,CLEAN!$P$6:$P$1005,$A29)+SUMIFS(CLEAN!$AA$6:$AA$1005,CLEAN!$N$6:$N$1005,$A29))</f>
        <v/>
      </c>
      <c r="D29">
        <f>IF($A29="","",IF($C29&gt;0,$B29/$C29,""))</f>
        <v/>
      </c>
      <c r="E29">
        <f>IF($A29="","",IF(ISNA(MATCH($A29,'IMPORT STATS'!$K$6:$K$205,0)),"",IF(INDEX('IMPORT STATS'!$C$6:$C$205,MATCH($A29,'IMPORT STATS'!$K$6:$K$205,0))="","",INDEX('IMPORT STATS'!$C$6:$C$205,MATCH($A29,'IMPORT STATS'!$K$6:$K$205,0)))))</f>
        <v/>
      </c>
      <c r="F29">
        <f>IF($A29="","",IF(ISNA(MATCH($A29,'IMPORT STATS'!$K$6:$K$205,0)),"",IF(INDEX('IMPORT STATS'!$D$6:$D$205,MATCH($A29,'IMPORT STATS'!$K$6:$K$205,0))="","",INDEX('IMPORT STATS'!$D$6:$D$205,MATCH($A29,'IMPORT STATS'!$K$6:$K$205,0)))))</f>
        <v/>
      </c>
      <c r="G29">
        <f>IF(OR($E29="",$F29=""),"",($E29-$F29)*SETTINGS!$B$17)</f>
        <v/>
      </c>
      <c r="H29">
        <f>IF($A29="","",IF(AND($D29="",$G29=""),"",IF($D29="",$G29,IF($G29="",$D29,SETTINGS!$B$18*$D29+SETTINGS!$B$19*$G29))))</f>
        <v/>
      </c>
    </row>
    <row r="30">
      <c r="A30">
        <f>IF('TEAM RATINGS'!$A30="","",'TEAM RATINGS'!$A30)</f>
        <v/>
      </c>
      <c r="B30">
        <f>IF($A30="","",SUMIFS(CLEAN!$X$6:$X$1005,CLEAN!$P$6:$P$1005,$A30)+SUMIFS(CLEAN!$Z$6:$Z$1005,CLEAN!$N$6:$N$1005,$A30))</f>
        <v/>
      </c>
      <c r="C30">
        <f>IF($A30="","",SUMIFS(CLEAN!$Y$6:$Y$1005,CLEAN!$P$6:$P$1005,$A30)+SUMIFS(CLEAN!$AA$6:$AA$1005,CLEAN!$N$6:$N$1005,$A30))</f>
        <v/>
      </c>
      <c r="D30">
        <f>IF($A30="","",IF($C30&gt;0,$B30/$C30,""))</f>
        <v/>
      </c>
      <c r="E30">
        <f>IF($A30="","",IF(ISNA(MATCH($A30,'IMPORT STATS'!$K$6:$K$205,0)),"",IF(INDEX('IMPORT STATS'!$C$6:$C$205,MATCH($A30,'IMPORT STATS'!$K$6:$K$205,0))="","",INDEX('IMPORT STATS'!$C$6:$C$205,MATCH($A30,'IMPORT STATS'!$K$6:$K$205,0)))))</f>
        <v/>
      </c>
      <c r="F30">
        <f>IF($A30="","",IF(ISNA(MATCH($A30,'IMPORT STATS'!$K$6:$K$205,0)),"",IF(INDEX('IMPORT STATS'!$D$6:$D$205,MATCH($A30,'IMPORT STATS'!$K$6:$K$205,0))="","",INDEX('IMPORT STATS'!$D$6:$D$205,MATCH($A30,'IMPORT STATS'!$K$6:$K$205,0)))))</f>
        <v/>
      </c>
      <c r="G30">
        <f>IF(OR($E30="",$F30=""),"",($E30-$F30)*SETTINGS!$B$17)</f>
        <v/>
      </c>
      <c r="H30">
        <f>IF($A30="","",IF(AND($D30="",$G30=""),"",IF($D30="",$G30,IF($G30="",$D30,SETTINGS!$B$18*$D30+SETTINGS!$B$19*$G30))))</f>
        <v/>
      </c>
    </row>
    <row r="31">
      <c r="A31">
        <f>IF('TEAM RATINGS'!$A31="","",'TEAM RATINGS'!$A31)</f>
        <v/>
      </c>
      <c r="B31">
        <f>IF($A31="","",SUMIFS(CLEAN!$X$6:$X$1005,CLEAN!$P$6:$P$1005,$A31)+SUMIFS(CLEAN!$Z$6:$Z$1005,CLEAN!$N$6:$N$1005,$A31))</f>
        <v/>
      </c>
      <c r="C31">
        <f>IF($A31="","",SUMIFS(CLEAN!$Y$6:$Y$1005,CLEAN!$P$6:$P$1005,$A31)+SUMIFS(CLEAN!$AA$6:$AA$1005,CLEAN!$N$6:$N$1005,$A31))</f>
        <v/>
      </c>
      <c r="D31">
        <f>IF($A31="","",IF($C31&gt;0,$B31/$C31,""))</f>
        <v/>
      </c>
      <c r="E31">
        <f>IF($A31="","",IF(ISNA(MATCH($A31,'IMPORT STATS'!$K$6:$K$205,0)),"",IF(INDEX('IMPORT STATS'!$C$6:$C$205,MATCH($A31,'IMPORT STATS'!$K$6:$K$205,0))="","",INDEX('IMPORT STATS'!$C$6:$C$205,MATCH($A31,'IMPORT STATS'!$K$6:$K$205,0)))))</f>
        <v/>
      </c>
      <c r="F31">
        <f>IF($A31="","",IF(ISNA(MATCH($A31,'IMPORT STATS'!$K$6:$K$205,0)),"",IF(INDEX('IMPORT STATS'!$D$6:$D$205,MATCH($A31,'IMPORT STATS'!$K$6:$K$205,0))="","",INDEX('IMPORT STATS'!$D$6:$D$205,MATCH($A31,'IMPORT STATS'!$K$6:$K$205,0)))))</f>
        <v/>
      </c>
      <c r="G31">
        <f>IF(OR($E31="",$F31=""),"",($E31-$F31)*SETTINGS!$B$17)</f>
        <v/>
      </c>
      <c r="H31">
        <f>IF($A31="","",IF(AND($D31="",$G31=""),"",IF($D31="",$G31,IF($G31="",$D31,SETTINGS!$B$18*$D31+SETTINGS!$B$19*$G31))))</f>
        <v/>
      </c>
    </row>
    <row r="32">
      <c r="A32">
        <f>IF('TEAM RATINGS'!$A32="","",'TEAM RATINGS'!$A32)</f>
        <v/>
      </c>
      <c r="B32">
        <f>IF($A32="","",SUMIFS(CLEAN!$X$6:$X$1005,CLEAN!$P$6:$P$1005,$A32)+SUMIFS(CLEAN!$Z$6:$Z$1005,CLEAN!$N$6:$N$1005,$A32))</f>
        <v/>
      </c>
      <c r="C32">
        <f>IF($A32="","",SUMIFS(CLEAN!$Y$6:$Y$1005,CLEAN!$P$6:$P$1005,$A32)+SUMIFS(CLEAN!$AA$6:$AA$1005,CLEAN!$N$6:$N$1005,$A32))</f>
        <v/>
      </c>
      <c r="D32">
        <f>IF($A32="","",IF($C32&gt;0,$B32/$C32,""))</f>
        <v/>
      </c>
      <c r="E32">
        <f>IF($A32="","",IF(ISNA(MATCH($A32,'IMPORT STATS'!$K$6:$K$205,0)),"",IF(INDEX('IMPORT STATS'!$C$6:$C$205,MATCH($A32,'IMPORT STATS'!$K$6:$K$205,0))="","",INDEX('IMPORT STATS'!$C$6:$C$205,MATCH($A32,'IMPORT STATS'!$K$6:$K$205,0)))))</f>
        <v/>
      </c>
      <c r="F32">
        <f>IF($A32="","",IF(ISNA(MATCH($A32,'IMPORT STATS'!$K$6:$K$205,0)),"",IF(INDEX('IMPORT STATS'!$D$6:$D$205,MATCH($A32,'IMPORT STATS'!$K$6:$K$205,0))="","",INDEX('IMPORT STATS'!$D$6:$D$205,MATCH($A32,'IMPORT STATS'!$K$6:$K$205,0)))))</f>
        <v/>
      </c>
      <c r="G32">
        <f>IF(OR($E32="",$F32=""),"",($E32-$F32)*SETTINGS!$B$17)</f>
        <v/>
      </c>
      <c r="H32">
        <f>IF($A32="","",IF(AND($D32="",$G32=""),"",IF($D32="",$G32,IF($G32="",$D32,SETTINGS!$B$18*$D32+SETTINGS!$B$19*$G32))))</f>
        <v/>
      </c>
    </row>
    <row r="33">
      <c r="A33">
        <f>IF('TEAM RATINGS'!$A33="","",'TEAM RATINGS'!$A33)</f>
        <v/>
      </c>
      <c r="B33">
        <f>IF($A33="","",SUMIFS(CLEAN!$X$6:$X$1005,CLEAN!$P$6:$P$1005,$A33)+SUMIFS(CLEAN!$Z$6:$Z$1005,CLEAN!$N$6:$N$1005,$A33))</f>
        <v/>
      </c>
      <c r="C33">
        <f>IF($A33="","",SUMIFS(CLEAN!$Y$6:$Y$1005,CLEAN!$P$6:$P$1005,$A33)+SUMIFS(CLEAN!$AA$6:$AA$1005,CLEAN!$N$6:$N$1005,$A33))</f>
        <v/>
      </c>
      <c r="D33">
        <f>IF($A33="","",IF($C33&gt;0,$B33/$C33,""))</f>
        <v/>
      </c>
      <c r="E33">
        <f>IF($A33="","",IF(ISNA(MATCH($A33,'IMPORT STATS'!$K$6:$K$205,0)),"",IF(INDEX('IMPORT STATS'!$C$6:$C$205,MATCH($A33,'IMPORT STATS'!$K$6:$K$205,0))="","",INDEX('IMPORT STATS'!$C$6:$C$205,MATCH($A33,'IMPORT STATS'!$K$6:$K$205,0)))))</f>
        <v/>
      </c>
      <c r="F33">
        <f>IF($A33="","",IF(ISNA(MATCH($A33,'IMPORT STATS'!$K$6:$K$205,0)),"",IF(INDEX('IMPORT STATS'!$D$6:$D$205,MATCH($A33,'IMPORT STATS'!$K$6:$K$205,0))="","",INDEX('IMPORT STATS'!$D$6:$D$205,MATCH($A33,'IMPORT STATS'!$K$6:$K$205,0)))))</f>
        <v/>
      </c>
      <c r="G33">
        <f>IF(OR($E33="",$F33=""),"",($E33-$F33)*SETTINGS!$B$17)</f>
        <v/>
      </c>
      <c r="H33">
        <f>IF($A33="","",IF(AND($D33="",$G33=""),"",IF($D33="",$G33,IF($G33="",$D33,SETTINGS!$B$18*$D33+SETTINGS!$B$19*$G33))))</f>
        <v/>
      </c>
    </row>
    <row r="34">
      <c r="A34">
        <f>IF('TEAM RATINGS'!$A34="","",'TEAM RATINGS'!$A34)</f>
        <v/>
      </c>
      <c r="B34">
        <f>IF($A34="","",SUMIFS(CLEAN!$X$6:$X$1005,CLEAN!$P$6:$P$1005,$A34)+SUMIFS(CLEAN!$Z$6:$Z$1005,CLEAN!$N$6:$N$1005,$A34))</f>
        <v/>
      </c>
      <c r="C34">
        <f>IF($A34="","",SUMIFS(CLEAN!$Y$6:$Y$1005,CLEAN!$P$6:$P$1005,$A34)+SUMIFS(CLEAN!$AA$6:$AA$1005,CLEAN!$N$6:$N$1005,$A34))</f>
        <v/>
      </c>
      <c r="D34">
        <f>IF($A34="","",IF($C34&gt;0,$B34/$C34,""))</f>
        <v/>
      </c>
      <c r="E34">
        <f>IF($A34="","",IF(ISNA(MATCH($A34,'IMPORT STATS'!$K$6:$K$205,0)),"",IF(INDEX('IMPORT STATS'!$C$6:$C$205,MATCH($A34,'IMPORT STATS'!$K$6:$K$205,0))="","",INDEX('IMPORT STATS'!$C$6:$C$205,MATCH($A34,'IMPORT STATS'!$K$6:$K$205,0)))))</f>
        <v/>
      </c>
      <c r="F34">
        <f>IF($A34="","",IF(ISNA(MATCH($A34,'IMPORT STATS'!$K$6:$K$205,0)),"",IF(INDEX('IMPORT STATS'!$D$6:$D$205,MATCH($A34,'IMPORT STATS'!$K$6:$K$205,0))="","",INDEX('IMPORT STATS'!$D$6:$D$205,MATCH($A34,'IMPORT STATS'!$K$6:$K$205,0)))))</f>
        <v/>
      </c>
      <c r="G34">
        <f>IF(OR($E34="",$F34=""),"",($E34-$F34)*SETTINGS!$B$17)</f>
        <v/>
      </c>
      <c r="H34">
        <f>IF($A34="","",IF(AND($D34="",$G34=""),"",IF($D34="",$G34,IF($G34="",$D34,SETTINGS!$B$18*$D34+SETTINGS!$B$19*$G34))))</f>
        <v/>
      </c>
    </row>
    <row r="35">
      <c r="A35">
        <f>IF('TEAM RATINGS'!$A35="","",'TEAM RATINGS'!$A35)</f>
        <v/>
      </c>
      <c r="B35">
        <f>IF($A35="","",SUMIFS(CLEAN!$X$6:$X$1005,CLEAN!$P$6:$P$1005,$A35)+SUMIFS(CLEAN!$Z$6:$Z$1005,CLEAN!$N$6:$N$1005,$A35))</f>
        <v/>
      </c>
      <c r="C35">
        <f>IF($A35="","",SUMIFS(CLEAN!$Y$6:$Y$1005,CLEAN!$P$6:$P$1005,$A35)+SUMIFS(CLEAN!$AA$6:$AA$1005,CLEAN!$N$6:$N$1005,$A35))</f>
        <v/>
      </c>
      <c r="D35">
        <f>IF($A35="","",IF($C35&gt;0,$B35/$C35,""))</f>
        <v/>
      </c>
      <c r="E35">
        <f>IF($A35="","",IF(ISNA(MATCH($A35,'IMPORT STATS'!$K$6:$K$205,0)),"",IF(INDEX('IMPORT STATS'!$C$6:$C$205,MATCH($A35,'IMPORT STATS'!$K$6:$K$205,0))="","",INDEX('IMPORT STATS'!$C$6:$C$205,MATCH($A35,'IMPORT STATS'!$K$6:$K$205,0)))))</f>
        <v/>
      </c>
      <c r="F35">
        <f>IF($A35="","",IF(ISNA(MATCH($A35,'IMPORT STATS'!$K$6:$K$205,0)),"",IF(INDEX('IMPORT STATS'!$D$6:$D$205,MATCH($A35,'IMPORT STATS'!$K$6:$K$205,0))="","",INDEX('IMPORT STATS'!$D$6:$D$205,MATCH($A35,'IMPORT STATS'!$K$6:$K$205,0)))))</f>
        <v/>
      </c>
      <c r="G35">
        <f>IF(OR($E35="",$F35=""),"",($E35-$F35)*SETTINGS!$B$17)</f>
        <v/>
      </c>
      <c r="H35">
        <f>IF($A35="","",IF(AND($D35="",$G35=""),"",IF($D35="",$G35,IF($G35="",$D35,SETTINGS!$B$18*$D35+SETTINGS!$B$19*$G35))))</f>
        <v/>
      </c>
    </row>
    <row r="36">
      <c r="A36">
        <f>IF('TEAM RATINGS'!$A36="","",'TEAM RATINGS'!$A36)</f>
        <v/>
      </c>
      <c r="B36">
        <f>IF($A36="","",SUMIFS(CLEAN!$X$6:$X$1005,CLEAN!$P$6:$P$1005,$A36)+SUMIFS(CLEAN!$Z$6:$Z$1005,CLEAN!$N$6:$N$1005,$A36))</f>
        <v/>
      </c>
      <c r="C36">
        <f>IF($A36="","",SUMIFS(CLEAN!$Y$6:$Y$1005,CLEAN!$P$6:$P$1005,$A36)+SUMIFS(CLEAN!$AA$6:$AA$1005,CLEAN!$N$6:$N$1005,$A36))</f>
        <v/>
      </c>
      <c r="D36">
        <f>IF($A36="","",IF($C36&gt;0,$B36/$C36,""))</f>
        <v/>
      </c>
      <c r="E36">
        <f>IF($A36="","",IF(ISNA(MATCH($A36,'IMPORT STATS'!$K$6:$K$205,0)),"",IF(INDEX('IMPORT STATS'!$C$6:$C$205,MATCH($A36,'IMPORT STATS'!$K$6:$K$205,0))="","",INDEX('IMPORT STATS'!$C$6:$C$205,MATCH($A36,'IMPORT STATS'!$K$6:$K$205,0)))))</f>
        <v/>
      </c>
      <c r="F36">
        <f>IF($A36="","",IF(ISNA(MATCH($A36,'IMPORT STATS'!$K$6:$K$205,0)),"",IF(INDEX('IMPORT STATS'!$D$6:$D$205,MATCH($A36,'IMPORT STATS'!$K$6:$K$205,0))="","",INDEX('IMPORT STATS'!$D$6:$D$205,MATCH($A36,'IMPORT STATS'!$K$6:$K$205,0)))))</f>
        <v/>
      </c>
      <c r="G36">
        <f>IF(OR($E36="",$F36=""),"",($E36-$F36)*SETTINGS!$B$17)</f>
        <v/>
      </c>
      <c r="H36">
        <f>IF($A36="","",IF(AND($D36="",$G36=""),"",IF($D36="",$G36,IF($G36="",$D36,SETTINGS!$B$18*$D36+SETTINGS!$B$19*$G36))))</f>
        <v/>
      </c>
    </row>
    <row r="37">
      <c r="A37">
        <f>IF('TEAM RATINGS'!$A37="","",'TEAM RATINGS'!$A37)</f>
        <v/>
      </c>
      <c r="B37">
        <f>IF($A37="","",SUMIFS(CLEAN!$X$6:$X$1005,CLEAN!$P$6:$P$1005,$A37)+SUMIFS(CLEAN!$Z$6:$Z$1005,CLEAN!$N$6:$N$1005,$A37))</f>
        <v/>
      </c>
      <c r="C37">
        <f>IF($A37="","",SUMIFS(CLEAN!$Y$6:$Y$1005,CLEAN!$P$6:$P$1005,$A37)+SUMIFS(CLEAN!$AA$6:$AA$1005,CLEAN!$N$6:$N$1005,$A37))</f>
        <v/>
      </c>
      <c r="D37">
        <f>IF($A37="","",IF($C37&gt;0,$B37/$C37,""))</f>
        <v/>
      </c>
      <c r="E37">
        <f>IF($A37="","",IF(ISNA(MATCH($A37,'IMPORT STATS'!$K$6:$K$205,0)),"",IF(INDEX('IMPORT STATS'!$C$6:$C$205,MATCH($A37,'IMPORT STATS'!$K$6:$K$205,0))="","",INDEX('IMPORT STATS'!$C$6:$C$205,MATCH($A37,'IMPORT STATS'!$K$6:$K$205,0)))))</f>
        <v/>
      </c>
      <c r="F37">
        <f>IF($A37="","",IF(ISNA(MATCH($A37,'IMPORT STATS'!$K$6:$K$205,0)),"",IF(INDEX('IMPORT STATS'!$D$6:$D$205,MATCH($A37,'IMPORT STATS'!$K$6:$K$205,0))="","",INDEX('IMPORT STATS'!$D$6:$D$205,MATCH($A37,'IMPORT STATS'!$K$6:$K$205,0)))))</f>
        <v/>
      </c>
      <c r="G37">
        <f>IF(OR($E37="",$F37=""),"",($E37-$F37)*SETTINGS!$B$17)</f>
        <v/>
      </c>
      <c r="H37">
        <f>IF($A37="","",IF(AND($D37="",$G37=""),"",IF($D37="",$G37,IF($G37="",$D37,SETTINGS!$B$18*$D37+SETTINGS!$B$19*$G37))))</f>
        <v/>
      </c>
    </row>
    <row r="38">
      <c r="A38">
        <f>IF('TEAM RATINGS'!$A38="","",'TEAM RATINGS'!$A38)</f>
        <v/>
      </c>
      <c r="B38">
        <f>IF($A38="","",SUMIFS(CLEAN!$X$6:$X$1005,CLEAN!$P$6:$P$1005,$A38)+SUMIFS(CLEAN!$Z$6:$Z$1005,CLEAN!$N$6:$N$1005,$A38))</f>
        <v/>
      </c>
      <c r="C38">
        <f>IF($A38="","",SUMIFS(CLEAN!$Y$6:$Y$1005,CLEAN!$P$6:$P$1005,$A38)+SUMIFS(CLEAN!$AA$6:$AA$1005,CLEAN!$N$6:$N$1005,$A38))</f>
        <v/>
      </c>
      <c r="D38">
        <f>IF($A38="","",IF($C38&gt;0,$B38/$C38,""))</f>
        <v/>
      </c>
      <c r="E38">
        <f>IF($A38="","",IF(ISNA(MATCH($A38,'IMPORT STATS'!$K$6:$K$205,0)),"",IF(INDEX('IMPORT STATS'!$C$6:$C$205,MATCH($A38,'IMPORT STATS'!$K$6:$K$205,0))="","",INDEX('IMPORT STATS'!$C$6:$C$205,MATCH($A38,'IMPORT STATS'!$K$6:$K$205,0)))))</f>
        <v/>
      </c>
      <c r="F38">
        <f>IF($A38="","",IF(ISNA(MATCH($A38,'IMPORT STATS'!$K$6:$K$205,0)),"",IF(INDEX('IMPORT STATS'!$D$6:$D$205,MATCH($A38,'IMPORT STATS'!$K$6:$K$205,0))="","",INDEX('IMPORT STATS'!$D$6:$D$205,MATCH($A38,'IMPORT STATS'!$K$6:$K$205,0)))))</f>
        <v/>
      </c>
      <c r="G38">
        <f>IF(OR($E38="",$F38=""),"",($E38-$F38)*SETTINGS!$B$17)</f>
        <v/>
      </c>
      <c r="H38">
        <f>IF($A38="","",IF(AND($D38="",$G38=""),"",IF($D38="",$G38,IF($G38="",$D38,SETTINGS!$B$18*$D38+SETTINGS!$B$19*$G38))))</f>
        <v/>
      </c>
    </row>
    <row r="39">
      <c r="A39">
        <f>IF('TEAM RATINGS'!$A39="","",'TEAM RATINGS'!$A39)</f>
        <v/>
      </c>
      <c r="B39">
        <f>IF($A39="","",SUMIFS(CLEAN!$X$6:$X$1005,CLEAN!$P$6:$P$1005,$A39)+SUMIFS(CLEAN!$Z$6:$Z$1005,CLEAN!$N$6:$N$1005,$A39))</f>
        <v/>
      </c>
      <c r="C39">
        <f>IF($A39="","",SUMIFS(CLEAN!$Y$6:$Y$1005,CLEAN!$P$6:$P$1005,$A39)+SUMIFS(CLEAN!$AA$6:$AA$1005,CLEAN!$N$6:$N$1005,$A39))</f>
        <v/>
      </c>
      <c r="D39">
        <f>IF($A39="","",IF($C39&gt;0,$B39/$C39,""))</f>
        <v/>
      </c>
      <c r="E39">
        <f>IF($A39="","",IF(ISNA(MATCH($A39,'IMPORT STATS'!$K$6:$K$205,0)),"",IF(INDEX('IMPORT STATS'!$C$6:$C$205,MATCH($A39,'IMPORT STATS'!$K$6:$K$205,0))="","",INDEX('IMPORT STATS'!$C$6:$C$205,MATCH($A39,'IMPORT STATS'!$K$6:$K$205,0)))))</f>
        <v/>
      </c>
      <c r="F39">
        <f>IF($A39="","",IF(ISNA(MATCH($A39,'IMPORT STATS'!$K$6:$K$205,0)),"",IF(INDEX('IMPORT STATS'!$D$6:$D$205,MATCH($A39,'IMPORT STATS'!$K$6:$K$205,0))="","",INDEX('IMPORT STATS'!$D$6:$D$205,MATCH($A39,'IMPORT STATS'!$K$6:$K$205,0)))))</f>
        <v/>
      </c>
      <c r="G39">
        <f>IF(OR($E39="",$F39=""),"",($E39-$F39)*SETTINGS!$B$17)</f>
        <v/>
      </c>
      <c r="H39">
        <f>IF($A39="","",IF(AND($D39="",$G39=""),"",IF($D39="",$G39,IF($G39="",$D39,SETTINGS!$B$18*$D39+SETTINGS!$B$19*$G39))))</f>
        <v/>
      </c>
    </row>
    <row r="40">
      <c r="A40">
        <f>IF('TEAM RATINGS'!$A40="","",'TEAM RATINGS'!$A40)</f>
        <v/>
      </c>
      <c r="B40">
        <f>IF($A40="","",SUMIFS(CLEAN!$X$6:$X$1005,CLEAN!$P$6:$P$1005,$A40)+SUMIFS(CLEAN!$Z$6:$Z$1005,CLEAN!$N$6:$N$1005,$A40))</f>
        <v/>
      </c>
      <c r="C40">
        <f>IF($A40="","",SUMIFS(CLEAN!$Y$6:$Y$1005,CLEAN!$P$6:$P$1005,$A40)+SUMIFS(CLEAN!$AA$6:$AA$1005,CLEAN!$N$6:$N$1005,$A40))</f>
        <v/>
      </c>
      <c r="D40">
        <f>IF($A40="","",IF($C40&gt;0,$B40/$C40,""))</f>
        <v/>
      </c>
      <c r="E40">
        <f>IF($A40="","",IF(ISNA(MATCH($A40,'IMPORT STATS'!$K$6:$K$205,0)),"",IF(INDEX('IMPORT STATS'!$C$6:$C$205,MATCH($A40,'IMPORT STATS'!$K$6:$K$205,0))="","",INDEX('IMPORT STATS'!$C$6:$C$205,MATCH($A40,'IMPORT STATS'!$K$6:$K$205,0)))))</f>
        <v/>
      </c>
      <c r="F40">
        <f>IF($A40="","",IF(ISNA(MATCH($A40,'IMPORT STATS'!$K$6:$K$205,0)),"",IF(INDEX('IMPORT STATS'!$D$6:$D$205,MATCH($A40,'IMPORT STATS'!$K$6:$K$205,0))="","",INDEX('IMPORT STATS'!$D$6:$D$205,MATCH($A40,'IMPORT STATS'!$K$6:$K$205,0)))))</f>
        <v/>
      </c>
      <c r="G40">
        <f>IF(OR($E40="",$F40=""),"",($E40-$F40)*SETTINGS!$B$17)</f>
        <v/>
      </c>
      <c r="H40">
        <f>IF($A40="","",IF(AND($D40="",$G40=""),"",IF($D40="",$G40,IF($G40="",$D40,SETTINGS!$B$18*$D40+SETTINGS!$B$19*$G40))))</f>
        <v/>
      </c>
    </row>
    <row r="41">
      <c r="A41">
        <f>IF('TEAM RATINGS'!$A41="","",'TEAM RATINGS'!$A41)</f>
        <v/>
      </c>
      <c r="B41">
        <f>IF($A41="","",SUMIFS(CLEAN!$X$6:$X$1005,CLEAN!$P$6:$P$1005,$A41)+SUMIFS(CLEAN!$Z$6:$Z$1005,CLEAN!$N$6:$N$1005,$A41))</f>
        <v/>
      </c>
      <c r="C41">
        <f>IF($A41="","",SUMIFS(CLEAN!$Y$6:$Y$1005,CLEAN!$P$6:$P$1005,$A41)+SUMIFS(CLEAN!$AA$6:$AA$1005,CLEAN!$N$6:$N$1005,$A41))</f>
        <v/>
      </c>
      <c r="D41">
        <f>IF($A41="","",IF($C41&gt;0,$B41/$C41,""))</f>
        <v/>
      </c>
      <c r="E41">
        <f>IF($A41="","",IF(ISNA(MATCH($A41,'IMPORT STATS'!$K$6:$K$205,0)),"",IF(INDEX('IMPORT STATS'!$C$6:$C$205,MATCH($A41,'IMPORT STATS'!$K$6:$K$205,0))="","",INDEX('IMPORT STATS'!$C$6:$C$205,MATCH($A41,'IMPORT STATS'!$K$6:$K$205,0)))))</f>
        <v/>
      </c>
      <c r="F41">
        <f>IF($A41="","",IF(ISNA(MATCH($A41,'IMPORT STATS'!$K$6:$K$205,0)),"",IF(INDEX('IMPORT STATS'!$D$6:$D$205,MATCH($A41,'IMPORT STATS'!$K$6:$K$205,0))="","",INDEX('IMPORT STATS'!$D$6:$D$205,MATCH($A41,'IMPORT STATS'!$K$6:$K$205,0)))))</f>
        <v/>
      </c>
      <c r="G41">
        <f>IF(OR($E41="",$F41=""),"",($E41-$F41)*SETTINGS!$B$17)</f>
        <v/>
      </c>
      <c r="H41">
        <f>IF($A41="","",IF(AND($D41="",$G41=""),"",IF($D41="",$G41,IF($G41="",$D41,SETTINGS!$B$18*$D41+SETTINGS!$B$19*$G41))))</f>
        <v/>
      </c>
    </row>
    <row r="42">
      <c r="A42">
        <f>IF('TEAM RATINGS'!$A42="","",'TEAM RATINGS'!$A42)</f>
        <v/>
      </c>
      <c r="B42">
        <f>IF($A42="","",SUMIFS(CLEAN!$X$6:$X$1005,CLEAN!$P$6:$P$1005,$A42)+SUMIFS(CLEAN!$Z$6:$Z$1005,CLEAN!$N$6:$N$1005,$A42))</f>
        <v/>
      </c>
      <c r="C42">
        <f>IF($A42="","",SUMIFS(CLEAN!$Y$6:$Y$1005,CLEAN!$P$6:$P$1005,$A42)+SUMIFS(CLEAN!$AA$6:$AA$1005,CLEAN!$N$6:$N$1005,$A42))</f>
        <v/>
      </c>
      <c r="D42">
        <f>IF($A42="","",IF($C42&gt;0,$B42/$C42,""))</f>
        <v/>
      </c>
      <c r="E42">
        <f>IF($A42="","",IF(ISNA(MATCH($A42,'IMPORT STATS'!$K$6:$K$205,0)),"",IF(INDEX('IMPORT STATS'!$C$6:$C$205,MATCH($A42,'IMPORT STATS'!$K$6:$K$205,0))="","",INDEX('IMPORT STATS'!$C$6:$C$205,MATCH($A42,'IMPORT STATS'!$K$6:$K$205,0)))))</f>
        <v/>
      </c>
      <c r="F42">
        <f>IF($A42="","",IF(ISNA(MATCH($A42,'IMPORT STATS'!$K$6:$K$205,0)),"",IF(INDEX('IMPORT STATS'!$D$6:$D$205,MATCH($A42,'IMPORT STATS'!$K$6:$K$205,0))="","",INDEX('IMPORT STATS'!$D$6:$D$205,MATCH($A42,'IMPORT STATS'!$K$6:$K$205,0)))))</f>
        <v/>
      </c>
      <c r="G42">
        <f>IF(OR($E42="",$F42=""),"",($E42-$F42)*SETTINGS!$B$17)</f>
        <v/>
      </c>
      <c r="H42">
        <f>IF($A42="","",IF(AND($D42="",$G42=""),"",IF($D42="",$G42,IF($G42="",$D42,SETTINGS!$B$18*$D42+SETTINGS!$B$19*$G42))))</f>
        <v/>
      </c>
    </row>
    <row r="43">
      <c r="A43">
        <f>IF('TEAM RATINGS'!$A43="","",'TEAM RATINGS'!$A43)</f>
        <v/>
      </c>
      <c r="B43">
        <f>IF($A43="","",SUMIFS(CLEAN!$X$6:$X$1005,CLEAN!$P$6:$P$1005,$A43)+SUMIFS(CLEAN!$Z$6:$Z$1005,CLEAN!$N$6:$N$1005,$A43))</f>
        <v/>
      </c>
      <c r="C43">
        <f>IF($A43="","",SUMIFS(CLEAN!$Y$6:$Y$1005,CLEAN!$P$6:$P$1005,$A43)+SUMIFS(CLEAN!$AA$6:$AA$1005,CLEAN!$N$6:$N$1005,$A43))</f>
        <v/>
      </c>
      <c r="D43">
        <f>IF($A43="","",IF($C43&gt;0,$B43/$C43,""))</f>
        <v/>
      </c>
      <c r="E43">
        <f>IF($A43="","",IF(ISNA(MATCH($A43,'IMPORT STATS'!$K$6:$K$205,0)),"",IF(INDEX('IMPORT STATS'!$C$6:$C$205,MATCH($A43,'IMPORT STATS'!$K$6:$K$205,0))="","",INDEX('IMPORT STATS'!$C$6:$C$205,MATCH($A43,'IMPORT STATS'!$K$6:$K$205,0)))))</f>
        <v/>
      </c>
      <c r="F43">
        <f>IF($A43="","",IF(ISNA(MATCH($A43,'IMPORT STATS'!$K$6:$K$205,0)),"",IF(INDEX('IMPORT STATS'!$D$6:$D$205,MATCH($A43,'IMPORT STATS'!$K$6:$K$205,0))="","",INDEX('IMPORT STATS'!$D$6:$D$205,MATCH($A43,'IMPORT STATS'!$K$6:$K$205,0)))))</f>
        <v/>
      </c>
      <c r="G43">
        <f>IF(OR($E43="",$F43=""),"",($E43-$F43)*SETTINGS!$B$17)</f>
        <v/>
      </c>
      <c r="H43">
        <f>IF($A43="","",IF(AND($D43="",$G43=""),"",IF($D43="",$G43,IF($G43="",$D43,SETTINGS!$B$18*$D43+SETTINGS!$B$19*$G43))))</f>
        <v/>
      </c>
    </row>
    <row r="44">
      <c r="A44">
        <f>IF('TEAM RATINGS'!$A44="","",'TEAM RATINGS'!$A44)</f>
        <v/>
      </c>
      <c r="B44">
        <f>IF($A44="","",SUMIFS(CLEAN!$X$6:$X$1005,CLEAN!$P$6:$P$1005,$A44)+SUMIFS(CLEAN!$Z$6:$Z$1005,CLEAN!$N$6:$N$1005,$A44))</f>
        <v/>
      </c>
      <c r="C44">
        <f>IF($A44="","",SUMIFS(CLEAN!$Y$6:$Y$1005,CLEAN!$P$6:$P$1005,$A44)+SUMIFS(CLEAN!$AA$6:$AA$1005,CLEAN!$N$6:$N$1005,$A44))</f>
        <v/>
      </c>
      <c r="D44">
        <f>IF($A44="","",IF($C44&gt;0,$B44/$C44,""))</f>
        <v/>
      </c>
      <c r="E44">
        <f>IF($A44="","",IF(ISNA(MATCH($A44,'IMPORT STATS'!$K$6:$K$205,0)),"",IF(INDEX('IMPORT STATS'!$C$6:$C$205,MATCH($A44,'IMPORT STATS'!$K$6:$K$205,0))="","",INDEX('IMPORT STATS'!$C$6:$C$205,MATCH($A44,'IMPORT STATS'!$K$6:$K$205,0)))))</f>
        <v/>
      </c>
      <c r="F44">
        <f>IF($A44="","",IF(ISNA(MATCH($A44,'IMPORT STATS'!$K$6:$K$205,0)),"",IF(INDEX('IMPORT STATS'!$D$6:$D$205,MATCH($A44,'IMPORT STATS'!$K$6:$K$205,0))="","",INDEX('IMPORT STATS'!$D$6:$D$205,MATCH($A44,'IMPORT STATS'!$K$6:$K$205,0)))))</f>
        <v/>
      </c>
      <c r="G44">
        <f>IF(OR($E44="",$F44=""),"",($E44-$F44)*SETTINGS!$B$17)</f>
        <v/>
      </c>
      <c r="H44">
        <f>IF($A44="","",IF(AND($D44="",$G44=""),"",IF($D44="",$G44,IF($G44="",$D44,SETTINGS!$B$18*$D44+SETTINGS!$B$19*$G44))))</f>
        <v/>
      </c>
    </row>
    <row r="45">
      <c r="A45">
        <f>IF('TEAM RATINGS'!$A45="","",'TEAM RATINGS'!$A45)</f>
        <v/>
      </c>
      <c r="B45">
        <f>IF($A45="","",SUMIFS(CLEAN!$X$6:$X$1005,CLEAN!$P$6:$P$1005,$A45)+SUMIFS(CLEAN!$Z$6:$Z$1005,CLEAN!$N$6:$N$1005,$A45))</f>
        <v/>
      </c>
      <c r="C45">
        <f>IF($A45="","",SUMIFS(CLEAN!$Y$6:$Y$1005,CLEAN!$P$6:$P$1005,$A45)+SUMIFS(CLEAN!$AA$6:$AA$1005,CLEAN!$N$6:$N$1005,$A45))</f>
        <v/>
      </c>
      <c r="D45">
        <f>IF($A45="","",IF($C45&gt;0,$B45/$C45,""))</f>
        <v/>
      </c>
      <c r="E45">
        <f>IF($A45="","",IF(ISNA(MATCH($A45,'IMPORT STATS'!$K$6:$K$205,0)),"",IF(INDEX('IMPORT STATS'!$C$6:$C$205,MATCH($A45,'IMPORT STATS'!$K$6:$K$205,0))="","",INDEX('IMPORT STATS'!$C$6:$C$205,MATCH($A45,'IMPORT STATS'!$K$6:$K$205,0)))))</f>
        <v/>
      </c>
      <c r="F45">
        <f>IF($A45="","",IF(ISNA(MATCH($A45,'IMPORT STATS'!$K$6:$K$205,0)),"",IF(INDEX('IMPORT STATS'!$D$6:$D$205,MATCH($A45,'IMPORT STATS'!$K$6:$K$205,0))="","",INDEX('IMPORT STATS'!$D$6:$D$205,MATCH($A45,'IMPORT STATS'!$K$6:$K$205,0)))))</f>
        <v/>
      </c>
      <c r="G45">
        <f>IF(OR($E45="",$F45=""),"",($E45-$F45)*SETTINGS!$B$17)</f>
        <v/>
      </c>
      <c r="H45">
        <f>IF($A45="","",IF(AND($D45="",$G45=""),"",IF($D45="",$G45,IF($G45="",$D45,SETTINGS!$B$18*$D45+SETTINGS!$B$19*$G45))))</f>
        <v/>
      </c>
    </row>
    <row r="46">
      <c r="A46">
        <f>IF('TEAM RATINGS'!$A46="","",'TEAM RATINGS'!$A46)</f>
        <v/>
      </c>
      <c r="B46">
        <f>IF($A46="","",SUMIFS(CLEAN!$X$6:$X$1005,CLEAN!$P$6:$P$1005,$A46)+SUMIFS(CLEAN!$Z$6:$Z$1005,CLEAN!$N$6:$N$1005,$A46))</f>
        <v/>
      </c>
      <c r="C46">
        <f>IF($A46="","",SUMIFS(CLEAN!$Y$6:$Y$1005,CLEAN!$P$6:$P$1005,$A46)+SUMIFS(CLEAN!$AA$6:$AA$1005,CLEAN!$N$6:$N$1005,$A46))</f>
        <v/>
      </c>
      <c r="D46">
        <f>IF($A46="","",IF($C46&gt;0,$B46/$C46,""))</f>
        <v/>
      </c>
      <c r="E46">
        <f>IF($A46="","",IF(ISNA(MATCH($A46,'IMPORT STATS'!$K$6:$K$205,0)),"",IF(INDEX('IMPORT STATS'!$C$6:$C$205,MATCH($A46,'IMPORT STATS'!$K$6:$K$205,0))="","",INDEX('IMPORT STATS'!$C$6:$C$205,MATCH($A46,'IMPORT STATS'!$K$6:$K$205,0)))))</f>
        <v/>
      </c>
      <c r="F46">
        <f>IF($A46="","",IF(ISNA(MATCH($A46,'IMPORT STATS'!$K$6:$K$205,0)),"",IF(INDEX('IMPORT STATS'!$D$6:$D$205,MATCH($A46,'IMPORT STATS'!$K$6:$K$205,0))="","",INDEX('IMPORT STATS'!$D$6:$D$205,MATCH($A46,'IMPORT STATS'!$K$6:$K$205,0)))))</f>
        <v/>
      </c>
      <c r="G46">
        <f>IF(OR($E46="",$F46=""),"",($E46-$F46)*SETTINGS!$B$17)</f>
        <v/>
      </c>
      <c r="H46">
        <f>IF($A46="","",IF(AND($D46="",$G46=""),"",IF($D46="",$G46,IF($G46="",$D46,SETTINGS!$B$18*$D46+SETTINGS!$B$19*$G46))))</f>
        <v/>
      </c>
    </row>
    <row r="47">
      <c r="A47">
        <f>IF('TEAM RATINGS'!$A47="","",'TEAM RATINGS'!$A47)</f>
        <v/>
      </c>
      <c r="B47">
        <f>IF($A47="","",SUMIFS(CLEAN!$X$6:$X$1005,CLEAN!$P$6:$P$1005,$A47)+SUMIFS(CLEAN!$Z$6:$Z$1005,CLEAN!$N$6:$N$1005,$A47))</f>
        <v/>
      </c>
      <c r="C47">
        <f>IF($A47="","",SUMIFS(CLEAN!$Y$6:$Y$1005,CLEAN!$P$6:$P$1005,$A47)+SUMIFS(CLEAN!$AA$6:$AA$1005,CLEAN!$N$6:$N$1005,$A47))</f>
        <v/>
      </c>
      <c r="D47">
        <f>IF($A47="","",IF($C47&gt;0,$B47/$C47,""))</f>
        <v/>
      </c>
      <c r="E47">
        <f>IF($A47="","",IF(ISNA(MATCH($A47,'IMPORT STATS'!$K$6:$K$205,0)),"",IF(INDEX('IMPORT STATS'!$C$6:$C$205,MATCH($A47,'IMPORT STATS'!$K$6:$K$205,0))="","",INDEX('IMPORT STATS'!$C$6:$C$205,MATCH($A47,'IMPORT STATS'!$K$6:$K$205,0)))))</f>
        <v/>
      </c>
      <c r="F47">
        <f>IF($A47="","",IF(ISNA(MATCH($A47,'IMPORT STATS'!$K$6:$K$205,0)),"",IF(INDEX('IMPORT STATS'!$D$6:$D$205,MATCH($A47,'IMPORT STATS'!$K$6:$K$205,0))="","",INDEX('IMPORT STATS'!$D$6:$D$205,MATCH($A47,'IMPORT STATS'!$K$6:$K$205,0)))))</f>
        <v/>
      </c>
      <c r="G47">
        <f>IF(OR($E47="",$F47=""),"",($E47-$F47)*SETTINGS!$B$17)</f>
        <v/>
      </c>
      <c r="H47">
        <f>IF($A47="","",IF(AND($D47="",$G47=""),"",IF($D47="",$G47,IF($G47="",$D47,SETTINGS!$B$18*$D47+SETTINGS!$B$19*$G47))))</f>
        <v/>
      </c>
    </row>
    <row r="48">
      <c r="A48">
        <f>IF('TEAM RATINGS'!$A48="","",'TEAM RATINGS'!$A48)</f>
        <v/>
      </c>
      <c r="B48">
        <f>IF($A48="","",SUMIFS(CLEAN!$X$6:$X$1005,CLEAN!$P$6:$P$1005,$A48)+SUMIFS(CLEAN!$Z$6:$Z$1005,CLEAN!$N$6:$N$1005,$A48))</f>
        <v/>
      </c>
      <c r="C48">
        <f>IF($A48="","",SUMIFS(CLEAN!$Y$6:$Y$1005,CLEAN!$P$6:$P$1005,$A48)+SUMIFS(CLEAN!$AA$6:$AA$1005,CLEAN!$N$6:$N$1005,$A48))</f>
        <v/>
      </c>
      <c r="D48">
        <f>IF($A48="","",IF($C48&gt;0,$B48/$C48,""))</f>
        <v/>
      </c>
      <c r="E48">
        <f>IF($A48="","",IF(ISNA(MATCH($A48,'IMPORT STATS'!$K$6:$K$205,0)),"",IF(INDEX('IMPORT STATS'!$C$6:$C$205,MATCH($A48,'IMPORT STATS'!$K$6:$K$205,0))="","",INDEX('IMPORT STATS'!$C$6:$C$205,MATCH($A48,'IMPORT STATS'!$K$6:$K$205,0)))))</f>
        <v/>
      </c>
      <c r="F48">
        <f>IF($A48="","",IF(ISNA(MATCH($A48,'IMPORT STATS'!$K$6:$K$205,0)),"",IF(INDEX('IMPORT STATS'!$D$6:$D$205,MATCH($A48,'IMPORT STATS'!$K$6:$K$205,0))="","",INDEX('IMPORT STATS'!$D$6:$D$205,MATCH($A48,'IMPORT STATS'!$K$6:$K$205,0)))))</f>
        <v/>
      </c>
      <c r="G48">
        <f>IF(OR($E48="",$F48=""),"",($E48-$F48)*SETTINGS!$B$17)</f>
        <v/>
      </c>
      <c r="H48">
        <f>IF($A48="","",IF(AND($D48="",$G48=""),"",IF($D48="",$G48,IF($G48="",$D48,SETTINGS!$B$18*$D48+SETTINGS!$B$19*$G48))))</f>
        <v/>
      </c>
    </row>
    <row r="49">
      <c r="A49">
        <f>IF('TEAM RATINGS'!$A49="","",'TEAM RATINGS'!$A49)</f>
        <v/>
      </c>
      <c r="B49">
        <f>IF($A49="","",SUMIFS(CLEAN!$X$6:$X$1005,CLEAN!$P$6:$P$1005,$A49)+SUMIFS(CLEAN!$Z$6:$Z$1005,CLEAN!$N$6:$N$1005,$A49))</f>
        <v/>
      </c>
      <c r="C49">
        <f>IF($A49="","",SUMIFS(CLEAN!$Y$6:$Y$1005,CLEAN!$P$6:$P$1005,$A49)+SUMIFS(CLEAN!$AA$6:$AA$1005,CLEAN!$N$6:$N$1005,$A49))</f>
        <v/>
      </c>
      <c r="D49">
        <f>IF($A49="","",IF($C49&gt;0,$B49/$C49,""))</f>
        <v/>
      </c>
      <c r="E49">
        <f>IF($A49="","",IF(ISNA(MATCH($A49,'IMPORT STATS'!$K$6:$K$205,0)),"",IF(INDEX('IMPORT STATS'!$C$6:$C$205,MATCH($A49,'IMPORT STATS'!$K$6:$K$205,0))="","",INDEX('IMPORT STATS'!$C$6:$C$205,MATCH($A49,'IMPORT STATS'!$K$6:$K$205,0)))))</f>
        <v/>
      </c>
      <c r="F49">
        <f>IF($A49="","",IF(ISNA(MATCH($A49,'IMPORT STATS'!$K$6:$K$205,0)),"",IF(INDEX('IMPORT STATS'!$D$6:$D$205,MATCH($A49,'IMPORT STATS'!$K$6:$K$205,0))="","",INDEX('IMPORT STATS'!$D$6:$D$205,MATCH($A49,'IMPORT STATS'!$K$6:$K$205,0)))))</f>
        <v/>
      </c>
      <c r="G49">
        <f>IF(OR($E49="",$F49=""),"",($E49-$F49)*SETTINGS!$B$17)</f>
        <v/>
      </c>
      <c r="H49">
        <f>IF($A49="","",IF(AND($D49="",$G49=""),"",IF($D49="",$G49,IF($G49="",$D49,SETTINGS!$B$18*$D49+SETTINGS!$B$19*$G49))))</f>
        <v/>
      </c>
    </row>
    <row r="50">
      <c r="A50">
        <f>IF('TEAM RATINGS'!$A50="","",'TEAM RATINGS'!$A50)</f>
        <v/>
      </c>
      <c r="B50">
        <f>IF($A50="","",SUMIFS(CLEAN!$X$6:$X$1005,CLEAN!$P$6:$P$1005,$A50)+SUMIFS(CLEAN!$Z$6:$Z$1005,CLEAN!$N$6:$N$1005,$A50))</f>
        <v/>
      </c>
      <c r="C50">
        <f>IF($A50="","",SUMIFS(CLEAN!$Y$6:$Y$1005,CLEAN!$P$6:$P$1005,$A50)+SUMIFS(CLEAN!$AA$6:$AA$1005,CLEAN!$N$6:$N$1005,$A50))</f>
        <v/>
      </c>
      <c r="D50">
        <f>IF($A50="","",IF($C50&gt;0,$B50/$C50,""))</f>
        <v/>
      </c>
      <c r="E50">
        <f>IF($A50="","",IF(ISNA(MATCH($A50,'IMPORT STATS'!$K$6:$K$205,0)),"",IF(INDEX('IMPORT STATS'!$C$6:$C$205,MATCH($A50,'IMPORT STATS'!$K$6:$K$205,0))="","",INDEX('IMPORT STATS'!$C$6:$C$205,MATCH($A50,'IMPORT STATS'!$K$6:$K$205,0)))))</f>
        <v/>
      </c>
      <c r="F50">
        <f>IF($A50="","",IF(ISNA(MATCH($A50,'IMPORT STATS'!$K$6:$K$205,0)),"",IF(INDEX('IMPORT STATS'!$D$6:$D$205,MATCH($A50,'IMPORT STATS'!$K$6:$K$205,0))="","",INDEX('IMPORT STATS'!$D$6:$D$205,MATCH($A50,'IMPORT STATS'!$K$6:$K$205,0)))))</f>
        <v/>
      </c>
      <c r="G50">
        <f>IF(OR($E50="",$F50=""),"",($E50-$F50)*SETTINGS!$B$17)</f>
        <v/>
      </c>
      <c r="H50">
        <f>IF($A50="","",IF(AND($D50="",$G50=""),"",IF($D50="",$G50,IF($G50="",$D50,SETTINGS!$B$18*$D50+SETTINGS!$B$19*$G50))))</f>
        <v/>
      </c>
    </row>
    <row r="51">
      <c r="A51">
        <f>IF('TEAM RATINGS'!$A51="","",'TEAM RATINGS'!$A51)</f>
        <v/>
      </c>
      <c r="B51">
        <f>IF($A51="","",SUMIFS(CLEAN!$X$6:$X$1005,CLEAN!$P$6:$P$1005,$A51)+SUMIFS(CLEAN!$Z$6:$Z$1005,CLEAN!$N$6:$N$1005,$A51))</f>
        <v/>
      </c>
      <c r="C51">
        <f>IF($A51="","",SUMIFS(CLEAN!$Y$6:$Y$1005,CLEAN!$P$6:$P$1005,$A51)+SUMIFS(CLEAN!$AA$6:$AA$1005,CLEAN!$N$6:$N$1005,$A51))</f>
        <v/>
      </c>
      <c r="D51">
        <f>IF($A51="","",IF($C51&gt;0,$B51/$C51,""))</f>
        <v/>
      </c>
      <c r="E51">
        <f>IF($A51="","",IF(ISNA(MATCH($A51,'IMPORT STATS'!$K$6:$K$205,0)),"",IF(INDEX('IMPORT STATS'!$C$6:$C$205,MATCH($A51,'IMPORT STATS'!$K$6:$K$205,0))="","",INDEX('IMPORT STATS'!$C$6:$C$205,MATCH($A51,'IMPORT STATS'!$K$6:$K$205,0)))))</f>
        <v/>
      </c>
      <c r="F51">
        <f>IF($A51="","",IF(ISNA(MATCH($A51,'IMPORT STATS'!$K$6:$K$205,0)),"",IF(INDEX('IMPORT STATS'!$D$6:$D$205,MATCH($A51,'IMPORT STATS'!$K$6:$K$205,0))="","",INDEX('IMPORT STATS'!$D$6:$D$205,MATCH($A51,'IMPORT STATS'!$K$6:$K$205,0)))))</f>
        <v/>
      </c>
      <c r="G51">
        <f>IF(OR($E51="",$F51=""),"",($E51-$F51)*SETTINGS!$B$17)</f>
        <v/>
      </c>
      <c r="H51">
        <f>IF($A51="","",IF(AND($D51="",$G51=""),"",IF($D51="",$G51,IF($G51="",$D51,SETTINGS!$B$18*$D51+SETTINGS!$B$19*$G51))))</f>
        <v/>
      </c>
    </row>
    <row r="52">
      <c r="A52">
        <f>IF('TEAM RATINGS'!$A52="","",'TEAM RATINGS'!$A52)</f>
        <v/>
      </c>
      <c r="B52">
        <f>IF($A52="","",SUMIFS(CLEAN!$X$6:$X$1005,CLEAN!$P$6:$P$1005,$A52)+SUMIFS(CLEAN!$Z$6:$Z$1005,CLEAN!$N$6:$N$1005,$A52))</f>
        <v/>
      </c>
      <c r="C52">
        <f>IF($A52="","",SUMIFS(CLEAN!$Y$6:$Y$1005,CLEAN!$P$6:$P$1005,$A52)+SUMIFS(CLEAN!$AA$6:$AA$1005,CLEAN!$N$6:$N$1005,$A52))</f>
        <v/>
      </c>
      <c r="D52">
        <f>IF($A52="","",IF($C52&gt;0,$B52/$C52,""))</f>
        <v/>
      </c>
      <c r="E52">
        <f>IF($A52="","",IF(ISNA(MATCH($A52,'IMPORT STATS'!$K$6:$K$205,0)),"",IF(INDEX('IMPORT STATS'!$C$6:$C$205,MATCH($A52,'IMPORT STATS'!$K$6:$K$205,0))="","",INDEX('IMPORT STATS'!$C$6:$C$205,MATCH($A52,'IMPORT STATS'!$K$6:$K$205,0)))))</f>
        <v/>
      </c>
      <c r="F52">
        <f>IF($A52="","",IF(ISNA(MATCH($A52,'IMPORT STATS'!$K$6:$K$205,0)),"",IF(INDEX('IMPORT STATS'!$D$6:$D$205,MATCH($A52,'IMPORT STATS'!$K$6:$K$205,0))="","",INDEX('IMPORT STATS'!$D$6:$D$205,MATCH($A52,'IMPORT STATS'!$K$6:$K$205,0)))))</f>
        <v/>
      </c>
      <c r="G52">
        <f>IF(OR($E52="",$F52=""),"",($E52-$F52)*SETTINGS!$B$17)</f>
        <v/>
      </c>
      <c r="H52">
        <f>IF($A52="","",IF(AND($D52="",$G52=""),"",IF($D52="",$G52,IF($G52="",$D52,SETTINGS!$B$18*$D52+SETTINGS!$B$19*$G52))))</f>
        <v/>
      </c>
    </row>
    <row r="53">
      <c r="A53">
        <f>IF('TEAM RATINGS'!$A53="","",'TEAM RATINGS'!$A53)</f>
        <v/>
      </c>
      <c r="B53">
        <f>IF($A53="","",SUMIFS(CLEAN!$X$6:$X$1005,CLEAN!$P$6:$P$1005,$A53)+SUMIFS(CLEAN!$Z$6:$Z$1005,CLEAN!$N$6:$N$1005,$A53))</f>
        <v/>
      </c>
      <c r="C53">
        <f>IF($A53="","",SUMIFS(CLEAN!$Y$6:$Y$1005,CLEAN!$P$6:$P$1005,$A53)+SUMIFS(CLEAN!$AA$6:$AA$1005,CLEAN!$N$6:$N$1005,$A53))</f>
        <v/>
      </c>
      <c r="D53">
        <f>IF($A53="","",IF($C53&gt;0,$B53/$C53,""))</f>
        <v/>
      </c>
      <c r="E53">
        <f>IF($A53="","",IF(ISNA(MATCH($A53,'IMPORT STATS'!$K$6:$K$205,0)),"",IF(INDEX('IMPORT STATS'!$C$6:$C$205,MATCH($A53,'IMPORT STATS'!$K$6:$K$205,0))="","",INDEX('IMPORT STATS'!$C$6:$C$205,MATCH($A53,'IMPORT STATS'!$K$6:$K$205,0)))))</f>
        <v/>
      </c>
      <c r="F53">
        <f>IF($A53="","",IF(ISNA(MATCH($A53,'IMPORT STATS'!$K$6:$K$205,0)),"",IF(INDEX('IMPORT STATS'!$D$6:$D$205,MATCH($A53,'IMPORT STATS'!$K$6:$K$205,0))="","",INDEX('IMPORT STATS'!$D$6:$D$205,MATCH($A53,'IMPORT STATS'!$K$6:$K$205,0)))))</f>
        <v/>
      </c>
      <c r="G53">
        <f>IF(OR($E53="",$F53=""),"",($E53-$F53)*SETTINGS!$B$17)</f>
        <v/>
      </c>
      <c r="H53">
        <f>IF($A53="","",IF(AND($D53="",$G53=""),"",IF($D53="",$G53,IF($G53="",$D53,SETTINGS!$B$18*$D53+SETTINGS!$B$19*$G53))))</f>
        <v/>
      </c>
    </row>
    <row r="54">
      <c r="A54">
        <f>IF('TEAM RATINGS'!$A54="","",'TEAM RATINGS'!$A54)</f>
        <v/>
      </c>
      <c r="B54">
        <f>IF($A54="","",SUMIFS(CLEAN!$X$6:$X$1005,CLEAN!$P$6:$P$1005,$A54)+SUMIFS(CLEAN!$Z$6:$Z$1005,CLEAN!$N$6:$N$1005,$A54))</f>
        <v/>
      </c>
      <c r="C54">
        <f>IF($A54="","",SUMIFS(CLEAN!$Y$6:$Y$1005,CLEAN!$P$6:$P$1005,$A54)+SUMIFS(CLEAN!$AA$6:$AA$1005,CLEAN!$N$6:$N$1005,$A54))</f>
        <v/>
      </c>
      <c r="D54">
        <f>IF($A54="","",IF($C54&gt;0,$B54/$C54,""))</f>
        <v/>
      </c>
      <c r="E54">
        <f>IF($A54="","",IF(ISNA(MATCH($A54,'IMPORT STATS'!$K$6:$K$205,0)),"",IF(INDEX('IMPORT STATS'!$C$6:$C$205,MATCH($A54,'IMPORT STATS'!$K$6:$K$205,0))="","",INDEX('IMPORT STATS'!$C$6:$C$205,MATCH($A54,'IMPORT STATS'!$K$6:$K$205,0)))))</f>
        <v/>
      </c>
      <c r="F54">
        <f>IF($A54="","",IF(ISNA(MATCH($A54,'IMPORT STATS'!$K$6:$K$205,0)),"",IF(INDEX('IMPORT STATS'!$D$6:$D$205,MATCH($A54,'IMPORT STATS'!$K$6:$K$205,0))="","",INDEX('IMPORT STATS'!$D$6:$D$205,MATCH($A54,'IMPORT STATS'!$K$6:$K$205,0)))))</f>
        <v/>
      </c>
      <c r="G54">
        <f>IF(OR($E54="",$F54=""),"",($E54-$F54)*SETTINGS!$B$17)</f>
        <v/>
      </c>
      <c r="H54">
        <f>IF($A54="","",IF(AND($D54="",$G54=""),"",IF($D54="",$G54,IF($G54="",$D54,SETTINGS!$B$18*$D54+SETTINGS!$B$19*$G54))))</f>
        <v/>
      </c>
    </row>
    <row r="55">
      <c r="A55">
        <f>IF('TEAM RATINGS'!$A55="","",'TEAM RATINGS'!$A55)</f>
        <v/>
      </c>
      <c r="B55">
        <f>IF($A55="","",SUMIFS(CLEAN!$X$6:$X$1005,CLEAN!$P$6:$P$1005,$A55)+SUMIFS(CLEAN!$Z$6:$Z$1005,CLEAN!$N$6:$N$1005,$A55))</f>
        <v/>
      </c>
      <c r="C55">
        <f>IF($A55="","",SUMIFS(CLEAN!$Y$6:$Y$1005,CLEAN!$P$6:$P$1005,$A55)+SUMIFS(CLEAN!$AA$6:$AA$1005,CLEAN!$N$6:$N$1005,$A55))</f>
        <v/>
      </c>
      <c r="D55">
        <f>IF($A55="","",IF($C55&gt;0,$B55/$C55,""))</f>
        <v/>
      </c>
      <c r="E55">
        <f>IF($A55="","",IF(ISNA(MATCH($A55,'IMPORT STATS'!$K$6:$K$205,0)),"",IF(INDEX('IMPORT STATS'!$C$6:$C$205,MATCH($A55,'IMPORT STATS'!$K$6:$K$205,0))="","",INDEX('IMPORT STATS'!$C$6:$C$205,MATCH($A55,'IMPORT STATS'!$K$6:$K$205,0)))))</f>
        <v/>
      </c>
      <c r="F55">
        <f>IF($A55="","",IF(ISNA(MATCH($A55,'IMPORT STATS'!$K$6:$K$205,0)),"",IF(INDEX('IMPORT STATS'!$D$6:$D$205,MATCH($A55,'IMPORT STATS'!$K$6:$K$205,0))="","",INDEX('IMPORT STATS'!$D$6:$D$205,MATCH($A55,'IMPORT STATS'!$K$6:$K$205,0)))))</f>
        <v/>
      </c>
      <c r="G55">
        <f>IF(OR($E55="",$F55=""),"",($E55-$F55)*SETTINGS!$B$17)</f>
        <v/>
      </c>
      <c r="H55">
        <f>IF($A55="","",IF(AND($D55="",$G55=""),"",IF($D55="",$G55,IF($G55="",$D55,SETTINGS!$B$18*$D55+SETTINGS!$B$19*$G55))))</f>
        <v/>
      </c>
    </row>
    <row r="56">
      <c r="A56">
        <f>IF('TEAM RATINGS'!$A56="","",'TEAM RATINGS'!$A56)</f>
        <v/>
      </c>
      <c r="B56">
        <f>IF($A56="","",SUMIFS(CLEAN!$X$6:$X$1005,CLEAN!$P$6:$P$1005,$A56)+SUMIFS(CLEAN!$Z$6:$Z$1005,CLEAN!$N$6:$N$1005,$A56))</f>
        <v/>
      </c>
      <c r="C56">
        <f>IF($A56="","",SUMIFS(CLEAN!$Y$6:$Y$1005,CLEAN!$P$6:$P$1005,$A56)+SUMIFS(CLEAN!$AA$6:$AA$1005,CLEAN!$N$6:$N$1005,$A56))</f>
        <v/>
      </c>
      <c r="D56">
        <f>IF($A56="","",IF($C56&gt;0,$B56/$C56,""))</f>
        <v/>
      </c>
      <c r="E56">
        <f>IF($A56="","",IF(ISNA(MATCH($A56,'IMPORT STATS'!$K$6:$K$205,0)),"",IF(INDEX('IMPORT STATS'!$C$6:$C$205,MATCH($A56,'IMPORT STATS'!$K$6:$K$205,0))="","",INDEX('IMPORT STATS'!$C$6:$C$205,MATCH($A56,'IMPORT STATS'!$K$6:$K$205,0)))))</f>
        <v/>
      </c>
      <c r="F56">
        <f>IF($A56="","",IF(ISNA(MATCH($A56,'IMPORT STATS'!$K$6:$K$205,0)),"",IF(INDEX('IMPORT STATS'!$D$6:$D$205,MATCH($A56,'IMPORT STATS'!$K$6:$K$205,0))="","",INDEX('IMPORT STATS'!$D$6:$D$205,MATCH($A56,'IMPORT STATS'!$K$6:$K$205,0)))))</f>
        <v/>
      </c>
      <c r="G56">
        <f>IF(OR($E56="",$F56=""),"",($E56-$F56)*SETTINGS!$B$17)</f>
        <v/>
      </c>
      <c r="H56">
        <f>IF($A56="","",IF(AND($D56="",$G56=""),"",IF($D56="",$G56,IF($G56="",$D56,SETTINGS!$B$18*$D56+SETTINGS!$B$19*$G56))))</f>
        <v/>
      </c>
    </row>
    <row r="57">
      <c r="A57">
        <f>IF('TEAM RATINGS'!$A57="","",'TEAM RATINGS'!$A57)</f>
        <v/>
      </c>
      <c r="B57">
        <f>IF($A57="","",SUMIFS(CLEAN!$X$6:$X$1005,CLEAN!$P$6:$P$1005,$A57)+SUMIFS(CLEAN!$Z$6:$Z$1005,CLEAN!$N$6:$N$1005,$A57))</f>
        <v/>
      </c>
      <c r="C57">
        <f>IF($A57="","",SUMIFS(CLEAN!$Y$6:$Y$1005,CLEAN!$P$6:$P$1005,$A57)+SUMIFS(CLEAN!$AA$6:$AA$1005,CLEAN!$N$6:$N$1005,$A57))</f>
        <v/>
      </c>
      <c r="D57">
        <f>IF($A57="","",IF($C57&gt;0,$B57/$C57,""))</f>
        <v/>
      </c>
      <c r="E57">
        <f>IF($A57="","",IF(ISNA(MATCH($A57,'IMPORT STATS'!$K$6:$K$205,0)),"",IF(INDEX('IMPORT STATS'!$C$6:$C$205,MATCH($A57,'IMPORT STATS'!$K$6:$K$205,0))="","",INDEX('IMPORT STATS'!$C$6:$C$205,MATCH($A57,'IMPORT STATS'!$K$6:$K$205,0)))))</f>
        <v/>
      </c>
      <c r="F57">
        <f>IF($A57="","",IF(ISNA(MATCH($A57,'IMPORT STATS'!$K$6:$K$205,0)),"",IF(INDEX('IMPORT STATS'!$D$6:$D$205,MATCH($A57,'IMPORT STATS'!$K$6:$K$205,0))="","",INDEX('IMPORT STATS'!$D$6:$D$205,MATCH($A57,'IMPORT STATS'!$K$6:$K$205,0)))))</f>
        <v/>
      </c>
      <c r="G57">
        <f>IF(OR($E57="",$F57=""),"",($E57-$F57)*SETTINGS!$B$17)</f>
        <v/>
      </c>
      <c r="H57">
        <f>IF($A57="","",IF(AND($D57="",$G57=""),"",IF($D57="",$G57,IF($G57="",$D57,SETTINGS!$B$18*$D57+SETTINGS!$B$19*$G57))))</f>
        <v/>
      </c>
    </row>
    <row r="58">
      <c r="A58">
        <f>IF('TEAM RATINGS'!$A58="","",'TEAM RATINGS'!$A58)</f>
        <v/>
      </c>
      <c r="B58">
        <f>IF($A58="","",SUMIFS(CLEAN!$X$6:$X$1005,CLEAN!$P$6:$P$1005,$A58)+SUMIFS(CLEAN!$Z$6:$Z$1005,CLEAN!$N$6:$N$1005,$A58))</f>
        <v/>
      </c>
      <c r="C58">
        <f>IF($A58="","",SUMIFS(CLEAN!$Y$6:$Y$1005,CLEAN!$P$6:$P$1005,$A58)+SUMIFS(CLEAN!$AA$6:$AA$1005,CLEAN!$N$6:$N$1005,$A58))</f>
        <v/>
      </c>
      <c r="D58">
        <f>IF($A58="","",IF($C58&gt;0,$B58/$C58,""))</f>
        <v/>
      </c>
      <c r="E58">
        <f>IF($A58="","",IF(ISNA(MATCH($A58,'IMPORT STATS'!$K$6:$K$205,0)),"",IF(INDEX('IMPORT STATS'!$C$6:$C$205,MATCH($A58,'IMPORT STATS'!$K$6:$K$205,0))="","",INDEX('IMPORT STATS'!$C$6:$C$205,MATCH($A58,'IMPORT STATS'!$K$6:$K$205,0)))))</f>
        <v/>
      </c>
      <c r="F58">
        <f>IF($A58="","",IF(ISNA(MATCH($A58,'IMPORT STATS'!$K$6:$K$205,0)),"",IF(INDEX('IMPORT STATS'!$D$6:$D$205,MATCH($A58,'IMPORT STATS'!$K$6:$K$205,0))="","",INDEX('IMPORT STATS'!$D$6:$D$205,MATCH($A58,'IMPORT STATS'!$K$6:$K$205,0)))))</f>
        <v/>
      </c>
      <c r="G58">
        <f>IF(OR($E58="",$F58=""),"",($E58-$F58)*SETTINGS!$B$17)</f>
        <v/>
      </c>
      <c r="H58">
        <f>IF($A58="","",IF(AND($D58="",$G58=""),"",IF($D58="",$G58,IF($G58="",$D58,SETTINGS!$B$18*$D58+SETTINGS!$B$19*$G58))))</f>
        <v/>
      </c>
    </row>
    <row r="59">
      <c r="A59">
        <f>IF('TEAM RATINGS'!$A59="","",'TEAM RATINGS'!$A59)</f>
        <v/>
      </c>
      <c r="B59">
        <f>IF($A59="","",SUMIFS(CLEAN!$X$6:$X$1005,CLEAN!$P$6:$P$1005,$A59)+SUMIFS(CLEAN!$Z$6:$Z$1005,CLEAN!$N$6:$N$1005,$A59))</f>
        <v/>
      </c>
      <c r="C59">
        <f>IF($A59="","",SUMIFS(CLEAN!$Y$6:$Y$1005,CLEAN!$P$6:$P$1005,$A59)+SUMIFS(CLEAN!$AA$6:$AA$1005,CLEAN!$N$6:$N$1005,$A59))</f>
        <v/>
      </c>
      <c r="D59">
        <f>IF($A59="","",IF($C59&gt;0,$B59/$C59,""))</f>
        <v/>
      </c>
      <c r="E59">
        <f>IF($A59="","",IF(ISNA(MATCH($A59,'IMPORT STATS'!$K$6:$K$205,0)),"",IF(INDEX('IMPORT STATS'!$C$6:$C$205,MATCH($A59,'IMPORT STATS'!$K$6:$K$205,0))="","",INDEX('IMPORT STATS'!$C$6:$C$205,MATCH($A59,'IMPORT STATS'!$K$6:$K$205,0)))))</f>
        <v/>
      </c>
      <c r="F59">
        <f>IF($A59="","",IF(ISNA(MATCH($A59,'IMPORT STATS'!$K$6:$K$205,0)),"",IF(INDEX('IMPORT STATS'!$D$6:$D$205,MATCH($A59,'IMPORT STATS'!$K$6:$K$205,0))="","",INDEX('IMPORT STATS'!$D$6:$D$205,MATCH($A59,'IMPORT STATS'!$K$6:$K$205,0)))))</f>
        <v/>
      </c>
      <c r="G59">
        <f>IF(OR($E59="",$F59=""),"",($E59-$F59)*SETTINGS!$B$17)</f>
        <v/>
      </c>
      <c r="H59">
        <f>IF($A59="","",IF(AND($D59="",$G59=""),"",IF($D59="",$G59,IF($G59="",$D59,SETTINGS!$B$18*$D59+SETTINGS!$B$19*$G59))))</f>
        <v/>
      </c>
    </row>
    <row r="60">
      <c r="A60">
        <f>IF('TEAM RATINGS'!$A60="","",'TEAM RATINGS'!$A60)</f>
        <v/>
      </c>
      <c r="B60">
        <f>IF($A60="","",SUMIFS(CLEAN!$X$6:$X$1005,CLEAN!$P$6:$P$1005,$A60)+SUMIFS(CLEAN!$Z$6:$Z$1005,CLEAN!$N$6:$N$1005,$A60))</f>
        <v/>
      </c>
      <c r="C60">
        <f>IF($A60="","",SUMIFS(CLEAN!$Y$6:$Y$1005,CLEAN!$P$6:$P$1005,$A60)+SUMIFS(CLEAN!$AA$6:$AA$1005,CLEAN!$N$6:$N$1005,$A60))</f>
        <v/>
      </c>
      <c r="D60">
        <f>IF($A60="","",IF($C60&gt;0,$B60/$C60,""))</f>
        <v/>
      </c>
      <c r="E60">
        <f>IF($A60="","",IF(ISNA(MATCH($A60,'IMPORT STATS'!$K$6:$K$205,0)),"",IF(INDEX('IMPORT STATS'!$C$6:$C$205,MATCH($A60,'IMPORT STATS'!$K$6:$K$205,0))="","",INDEX('IMPORT STATS'!$C$6:$C$205,MATCH($A60,'IMPORT STATS'!$K$6:$K$205,0)))))</f>
        <v/>
      </c>
      <c r="F60">
        <f>IF($A60="","",IF(ISNA(MATCH($A60,'IMPORT STATS'!$K$6:$K$205,0)),"",IF(INDEX('IMPORT STATS'!$D$6:$D$205,MATCH($A60,'IMPORT STATS'!$K$6:$K$205,0))="","",INDEX('IMPORT STATS'!$D$6:$D$205,MATCH($A60,'IMPORT STATS'!$K$6:$K$205,0)))))</f>
        <v/>
      </c>
      <c r="G60">
        <f>IF(OR($E60="",$F60=""),"",($E60-$F60)*SETTINGS!$B$17)</f>
        <v/>
      </c>
      <c r="H60">
        <f>IF($A60="","",IF(AND($D60="",$G60=""),"",IF($D60="",$G60,IF($G60="",$D60,SETTINGS!$B$18*$D60+SETTINGS!$B$19*$G60))))</f>
        <v/>
      </c>
    </row>
    <row r="61">
      <c r="A61">
        <f>IF('TEAM RATINGS'!$A61="","",'TEAM RATINGS'!$A61)</f>
        <v/>
      </c>
      <c r="B61">
        <f>IF($A61="","",SUMIFS(CLEAN!$X$6:$X$1005,CLEAN!$P$6:$P$1005,$A61)+SUMIFS(CLEAN!$Z$6:$Z$1005,CLEAN!$N$6:$N$1005,$A61))</f>
        <v/>
      </c>
      <c r="C61">
        <f>IF($A61="","",SUMIFS(CLEAN!$Y$6:$Y$1005,CLEAN!$P$6:$P$1005,$A61)+SUMIFS(CLEAN!$AA$6:$AA$1005,CLEAN!$N$6:$N$1005,$A61))</f>
        <v/>
      </c>
      <c r="D61">
        <f>IF($A61="","",IF($C61&gt;0,$B61/$C61,""))</f>
        <v/>
      </c>
      <c r="E61">
        <f>IF($A61="","",IF(ISNA(MATCH($A61,'IMPORT STATS'!$K$6:$K$205,0)),"",IF(INDEX('IMPORT STATS'!$C$6:$C$205,MATCH($A61,'IMPORT STATS'!$K$6:$K$205,0))="","",INDEX('IMPORT STATS'!$C$6:$C$205,MATCH($A61,'IMPORT STATS'!$K$6:$K$205,0)))))</f>
        <v/>
      </c>
      <c r="F61">
        <f>IF($A61="","",IF(ISNA(MATCH($A61,'IMPORT STATS'!$K$6:$K$205,0)),"",IF(INDEX('IMPORT STATS'!$D$6:$D$205,MATCH($A61,'IMPORT STATS'!$K$6:$K$205,0))="","",INDEX('IMPORT STATS'!$D$6:$D$205,MATCH($A61,'IMPORT STATS'!$K$6:$K$205,0)))))</f>
        <v/>
      </c>
      <c r="G61">
        <f>IF(OR($E61="",$F61=""),"",($E61-$F61)*SETTINGS!$B$17)</f>
        <v/>
      </c>
      <c r="H61">
        <f>IF($A61="","",IF(AND($D61="",$G61=""),"",IF($D61="",$G61,IF($G61="",$D61,SETTINGS!$B$18*$D61+SETTINGS!$B$19*$G61))))</f>
        <v/>
      </c>
    </row>
    <row r="62">
      <c r="A62">
        <f>IF('TEAM RATINGS'!$A62="","",'TEAM RATINGS'!$A62)</f>
        <v/>
      </c>
      <c r="B62">
        <f>IF($A62="","",SUMIFS(CLEAN!$X$6:$X$1005,CLEAN!$P$6:$P$1005,$A62)+SUMIFS(CLEAN!$Z$6:$Z$1005,CLEAN!$N$6:$N$1005,$A62))</f>
        <v/>
      </c>
      <c r="C62">
        <f>IF($A62="","",SUMIFS(CLEAN!$Y$6:$Y$1005,CLEAN!$P$6:$P$1005,$A62)+SUMIFS(CLEAN!$AA$6:$AA$1005,CLEAN!$N$6:$N$1005,$A62))</f>
        <v/>
      </c>
      <c r="D62">
        <f>IF($A62="","",IF($C62&gt;0,$B62/$C62,""))</f>
        <v/>
      </c>
      <c r="E62">
        <f>IF($A62="","",IF(ISNA(MATCH($A62,'IMPORT STATS'!$K$6:$K$205,0)),"",IF(INDEX('IMPORT STATS'!$C$6:$C$205,MATCH($A62,'IMPORT STATS'!$K$6:$K$205,0))="","",INDEX('IMPORT STATS'!$C$6:$C$205,MATCH($A62,'IMPORT STATS'!$K$6:$K$205,0)))))</f>
        <v/>
      </c>
      <c r="F62">
        <f>IF($A62="","",IF(ISNA(MATCH($A62,'IMPORT STATS'!$K$6:$K$205,0)),"",IF(INDEX('IMPORT STATS'!$D$6:$D$205,MATCH($A62,'IMPORT STATS'!$K$6:$K$205,0))="","",INDEX('IMPORT STATS'!$D$6:$D$205,MATCH($A62,'IMPORT STATS'!$K$6:$K$205,0)))))</f>
        <v/>
      </c>
      <c r="G62">
        <f>IF(OR($E62="",$F62=""),"",($E62-$F62)*SETTINGS!$B$17)</f>
        <v/>
      </c>
      <c r="H62">
        <f>IF($A62="","",IF(AND($D62="",$G62=""),"",IF($D62="",$G62,IF($G62="",$D62,SETTINGS!$B$18*$D62+SETTINGS!$B$19*$G62))))</f>
        <v/>
      </c>
    </row>
    <row r="63">
      <c r="A63">
        <f>IF('TEAM RATINGS'!$A63="","",'TEAM RATINGS'!$A63)</f>
        <v/>
      </c>
      <c r="B63">
        <f>IF($A63="","",SUMIFS(CLEAN!$X$6:$X$1005,CLEAN!$P$6:$P$1005,$A63)+SUMIFS(CLEAN!$Z$6:$Z$1005,CLEAN!$N$6:$N$1005,$A63))</f>
        <v/>
      </c>
      <c r="C63">
        <f>IF($A63="","",SUMIFS(CLEAN!$Y$6:$Y$1005,CLEAN!$P$6:$P$1005,$A63)+SUMIFS(CLEAN!$AA$6:$AA$1005,CLEAN!$N$6:$N$1005,$A63))</f>
        <v/>
      </c>
      <c r="D63">
        <f>IF($A63="","",IF($C63&gt;0,$B63/$C63,""))</f>
        <v/>
      </c>
      <c r="E63">
        <f>IF($A63="","",IF(ISNA(MATCH($A63,'IMPORT STATS'!$K$6:$K$205,0)),"",IF(INDEX('IMPORT STATS'!$C$6:$C$205,MATCH($A63,'IMPORT STATS'!$K$6:$K$205,0))="","",INDEX('IMPORT STATS'!$C$6:$C$205,MATCH($A63,'IMPORT STATS'!$K$6:$K$205,0)))))</f>
        <v/>
      </c>
      <c r="F63">
        <f>IF($A63="","",IF(ISNA(MATCH($A63,'IMPORT STATS'!$K$6:$K$205,0)),"",IF(INDEX('IMPORT STATS'!$D$6:$D$205,MATCH($A63,'IMPORT STATS'!$K$6:$K$205,0))="","",INDEX('IMPORT STATS'!$D$6:$D$205,MATCH($A63,'IMPORT STATS'!$K$6:$K$205,0)))))</f>
        <v/>
      </c>
      <c r="G63">
        <f>IF(OR($E63="",$F63=""),"",($E63-$F63)*SETTINGS!$B$17)</f>
        <v/>
      </c>
      <c r="H63">
        <f>IF($A63="","",IF(AND($D63="",$G63=""),"",IF($D63="",$G63,IF($G63="",$D63,SETTINGS!$B$18*$D63+SETTINGS!$B$19*$G63))))</f>
        <v/>
      </c>
    </row>
    <row r="64">
      <c r="A64">
        <f>IF('TEAM RATINGS'!$A64="","",'TEAM RATINGS'!$A64)</f>
        <v/>
      </c>
      <c r="B64">
        <f>IF($A64="","",SUMIFS(CLEAN!$X$6:$X$1005,CLEAN!$P$6:$P$1005,$A64)+SUMIFS(CLEAN!$Z$6:$Z$1005,CLEAN!$N$6:$N$1005,$A64))</f>
        <v/>
      </c>
      <c r="C64">
        <f>IF($A64="","",SUMIFS(CLEAN!$Y$6:$Y$1005,CLEAN!$P$6:$P$1005,$A64)+SUMIFS(CLEAN!$AA$6:$AA$1005,CLEAN!$N$6:$N$1005,$A64))</f>
        <v/>
      </c>
      <c r="D64">
        <f>IF($A64="","",IF($C64&gt;0,$B64/$C64,""))</f>
        <v/>
      </c>
      <c r="E64">
        <f>IF($A64="","",IF(ISNA(MATCH($A64,'IMPORT STATS'!$K$6:$K$205,0)),"",IF(INDEX('IMPORT STATS'!$C$6:$C$205,MATCH($A64,'IMPORT STATS'!$K$6:$K$205,0))="","",INDEX('IMPORT STATS'!$C$6:$C$205,MATCH($A64,'IMPORT STATS'!$K$6:$K$205,0)))))</f>
        <v/>
      </c>
      <c r="F64">
        <f>IF($A64="","",IF(ISNA(MATCH($A64,'IMPORT STATS'!$K$6:$K$205,0)),"",IF(INDEX('IMPORT STATS'!$D$6:$D$205,MATCH($A64,'IMPORT STATS'!$K$6:$K$205,0))="","",INDEX('IMPORT STATS'!$D$6:$D$205,MATCH($A64,'IMPORT STATS'!$K$6:$K$205,0)))))</f>
        <v/>
      </c>
      <c r="G64">
        <f>IF(OR($E64="",$F64=""),"",($E64-$F64)*SETTINGS!$B$17)</f>
        <v/>
      </c>
      <c r="H64">
        <f>IF($A64="","",IF(AND($D64="",$G64=""),"",IF($D64="",$G64,IF($G64="",$D64,SETTINGS!$B$18*$D64+SETTINGS!$B$19*$G64))))</f>
        <v/>
      </c>
    </row>
    <row r="65">
      <c r="A65">
        <f>IF('TEAM RATINGS'!$A65="","",'TEAM RATINGS'!$A65)</f>
        <v/>
      </c>
      <c r="B65">
        <f>IF($A65="","",SUMIFS(CLEAN!$X$6:$X$1005,CLEAN!$P$6:$P$1005,$A65)+SUMIFS(CLEAN!$Z$6:$Z$1005,CLEAN!$N$6:$N$1005,$A65))</f>
        <v/>
      </c>
      <c r="C65">
        <f>IF($A65="","",SUMIFS(CLEAN!$Y$6:$Y$1005,CLEAN!$P$6:$P$1005,$A65)+SUMIFS(CLEAN!$AA$6:$AA$1005,CLEAN!$N$6:$N$1005,$A65))</f>
        <v/>
      </c>
      <c r="D65">
        <f>IF($A65="","",IF($C65&gt;0,$B65/$C65,""))</f>
        <v/>
      </c>
      <c r="E65">
        <f>IF($A65="","",IF(ISNA(MATCH($A65,'IMPORT STATS'!$K$6:$K$205,0)),"",IF(INDEX('IMPORT STATS'!$C$6:$C$205,MATCH($A65,'IMPORT STATS'!$K$6:$K$205,0))="","",INDEX('IMPORT STATS'!$C$6:$C$205,MATCH($A65,'IMPORT STATS'!$K$6:$K$205,0)))))</f>
        <v/>
      </c>
      <c r="F65">
        <f>IF($A65="","",IF(ISNA(MATCH($A65,'IMPORT STATS'!$K$6:$K$205,0)),"",IF(INDEX('IMPORT STATS'!$D$6:$D$205,MATCH($A65,'IMPORT STATS'!$K$6:$K$205,0))="","",INDEX('IMPORT STATS'!$D$6:$D$205,MATCH($A65,'IMPORT STATS'!$K$6:$K$205,0)))))</f>
        <v/>
      </c>
      <c r="G65">
        <f>IF(OR($E65="",$F65=""),"",($E65-$F65)*SETTINGS!$B$17)</f>
        <v/>
      </c>
      <c r="H65">
        <f>IF($A65="","",IF(AND($D65="",$G65=""),"",IF($D65="",$G65,IF($G65="",$D65,SETTINGS!$B$18*$D65+SETTINGS!$B$19*$G65))))</f>
        <v/>
      </c>
    </row>
    <row r="66">
      <c r="A66">
        <f>IF('TEAM RATINGS'!$A66="","",'TEAM RATINGS'!$A66)</f>
        <v/>
      </c>
      <c r="B66">
        <f>IF($A66="","",SUMIFS(CLEAN!$X$6:$X$1005,CLEAN!$P$6:$P$1005,$A66)+SUMIFS(CLEAN!$Z$6:$Z$1005,CLEAN!$N$6:$N$1005,$A66))</f>
        <v/>
      </c>
      <c r="C66">
        <f>IF($A66="","",SUMIFS(CLEAN!$Y$6:$Y$1005,CLEAN!$P$6:$P$1005,$A66)+SUMIFS(CLEAN!$AA$6:$AA$1005,CLEAN!$N$6:$N$1005,$A66))</f>
        <v/>
      </c>
      <c r="D66">
        <f>IF($A66="","",IF($C66&gt;0,$B66/$C66,""))</f>
        <v/>
      </c>
      <c r="E66">
        <f>IF($A66="","",IF(ISNA(MATCH($A66,'IMPORT STATS'!$K$6:$K$205,0)),"",IF(INDEX('IMPORT STATS'!$C$6:$C$205,MATCH($A66,'IMPORT STATS'!$K$6:$K$205,0))="","",INDEX('IMPORT STATS'!$C$6:$C$205,MATCH($A66,'IMPORT STATS'!$K$6:$K$205,0)))))</f>
        <v/>
      </c>
      <c r="F66">
        <f>IF($A66="","",IF(ISNA(MATCH($A66,'IMPORT STATS'!$K$6:$K$205,0)),"",IF(INDEX('IMPORT STATS'!$D$6:$D$205,MATCH($A66,'IMPORT STATS'!$K$6:$K$205,0))="","",INDEX('IMPORT STATS'!$D$6:$D$205,MATCH($A66,'IMPORT STATS'!$K$6:$K$205,0)))))</f>
        <v/>
      </c>
      <c r="G66">
        <f>IF(OR($E66="",$F66=""),"",($E66-$F66)*SETTINGS!$B$17)</f>
        <v/>
      </c>
      <c r="H66">
        <f>IF($A66="","",IF(AND($D66="",$G66=""),"",IF($D66="",$G66,IF($G66="",$D66,SETTINGS!$B$18*$D66+SETTINGS!$B$19*$G66))))</f>
        <v/>
      </c>
    </row>
    <row r="67">
      <c r="A67">
        <f>IF('TEAM RATINGS'!$A67="","",'TEAM RATINGS'!$A67)</f>
        <v/>
      </c>
      <c r="B67">
        <f>IF($A67="","",SUMIFS(CLEAN!$X$6:$X$1005,CLEAN!$P$6:$P$1005,$A67)+SUMIFS(CLEAN!$Z$6:$Z$1005,CLEAN!$N$6:$N$1005,$A67))</f>
        <v/>
      </c>
      <c r="C67">
        <f>IF($A67="","",SUMIFS(CLEAN!$Y$6:$Y$1005,CLEAN!$P$6:$P$1005,$A67)+SUMIFS(CLEAN!$AA$6:$AA$1005,CLEAN!$N$6:$N$1005,$A67))</f>
        <v/>
      </c>
      <c r="D67">
        <f>IF($A67="","",IF($C67&gt;0,$B67/$C67,""))</f>
        <v/>
      </c>
      <c r="E67">
        <f>IF($A67="","",IF(ISNA(MATCH($A67,'IMPORT STATS'!$K$6:$K$205,0)),"",IF(INDEX('IMPORT STATS'!$C$6:$C$205,MATCH($A67,'IMPORT STATS'!$K$6:$K$205,0))="","",INDEX('IMPORT STATS'!$C$6:$C$205,MATCH($A67,'IMPORT STATS'!$K$6:$K$205,0)))))</f>
        <v/>
      </c>
      <c r="F67">
        <f>IF($A67="","",IF(ISNA(MATCH($A67,'IMPORT STATS'!$K$6:$K$205,0)),"",IF(INDEX('IMPORT STATS'!$D$6:$D$205,MATCH($A67,'IMPORT STATS'!$K$6:$K$205,0))="","",INDEX('IMPORT STATS'!$D$6:$D$205,MATCH($A67,'IMPORT STATS'!$K$6:$K$205,0)))))</f>
        <v/>
      </c>
      <c r="G67">
        <f>IF(OR($E67="",$F67=""),"",($E67-$F67)*SETTINGS!$B$17)</f>
        <v/>
      </c>
      <c r="H67">
        <f>IF($A67="","",IF(AND($D67="",$G67=""),"",IF($D67="",$G67,IF($G67="",$D67,SETTINGS!$B$18*$D67+SETTINGS!$B$19*$G67))))</f>
        <v/>
      </c>
    </row>
    <row r="68">
      <c r="A68">
        <f>IF('TEAM RATINGS'!$A68="","",'TEAM RATINGS'!$A68)</f>
        <v/>
      </c>
      <c r="B68">
        <f>IF($A68="","",SUMIFS(CLEAN!$X$6:$X$1005,CLEAN!$P$6:$P$1005,$A68)+SUMIFS(CLEAN!$Z$6:$Z$1005,CLEAN!$N$6:$N$1005,$A68))</f>
        <v/>
      </c>
      <c r="C68">
        <f>IF($A68="","",SUMIFS(CLEAN!$Y$6:$Y$1005,CLEAN!$P$6:$P$1005,$A68)+SUMIFS(CLEAN!$AA$6:$AA$1005,CLEAN!$N$6:$N$1005,$A68))</f>
        <v/>
      </c>
      <c r="D68">
        <f>IF($A68="","",IF($C68&gt;0,$B68/$C68,""))</f>
        <v/>
      </c>
      <c r="E68">
        <f>IF($A68="","",IF(ISNA(MATCH($A68,'IMPORT STATS'!$K$6:$K$205,0)),"",IF(INDEX('IMPORT STATS'!$C$6:$C$205,MATCH($A68,'IMPORT STATS'!$K$6:$K$205,0))="","",INDEX('IMPORT STATS'!$C$6:$C$205,MATCH($A68,'IMPORT STATS'!$K$6:$K$205,0)))))</f>
        <v/>
      </c>
      <c r="F68">
        <f>IF($A68="","",IF(ISNA(MATCH($A68,'IMPORT STATS'!$K$6:$K$205,0)),"",IF(INDEX('IMPORT STATS'!$D$6:$D$205,MATCH($A68,'IMPORT STATS'!$K$6:$K$205,0))="","",INDEX('IMPORT STATS'!$D$6:$D$205,MATCH($A68,'IMPORT STATS'!$K$6:$K$205,0)))))</f>
        <v/>
      </c>
      <c r="G68">
        <f>IF(OR($E68="",$F68=""),"",($E68-$F68)*SETTINGS!$B$17)</f>
        <v/>
      </c>
      <c r="H68">
        <f>IF($A68="","",IF(AND($D68="",$G68=""),"",IF($D68="",$G68,IF($G68="",$D68,SETTINGS!$B$18*$D68+SETTINGS!$B$19*$G68))))</f>
        <v/>
      </c>
    </row>
    <row r="69">
      <c r="A69">
        <f>IF('TEAM RATINGS'!$A69="","",'TEAM RATINGS'!$A69)</f>
        <v/>
      </c>
      <c r="B69">
        <f>IF($A69="","",SUMIFS(CLEAN!$X$6:$X$1005,CLEAN!$P$6:$P$1005,$A69)+SUMIFS(CLEAN!$Z$6:$Z$1005,CLEAN!$N$6:$N$1005,$A69))</f>
        <v/>
      </c>
      <c r="C69">
        <f>IF($A69="","",SUMIFS(CLEAN!$Y$6:$Y$1005,CLEAN!$P$6:$P$1005,$A69)+SUMIFS(CLEAN!$AA$6:$AA$1005,CLEAN!$N$6:$N$1005,$A69))</f>
        <v/>
      </c>
      <c r="D69">
        <f>IF($A69="","",IF($C69&gt;0,$B69/$C69,""))</f>
        <v/>
      </c>
      <c r="E69">
        <f>IF($A69="","",IF(ISNA(MATCH($A69,'IMPORT STATS'!$K$6:$K$205,0)),"",IF(INDEX('IMPORT STATS'!$C$6:$C$205,MATCH($A69,'IMPORT STATS'!$K$6:$K$205,0))="","",INDEX('IMPORT STATS'!$C$6:$C$205,MATCH($A69,'IMPORT STATS'!$K$6:$K$205,0)))))</f>
        <v/>
      </c>
      <c r="F69">
        <f>IF($A69="","",IF(ISNA(MATCH($A69,'IMPORT STATS'!$K$6:$K$205,0)),"",IF(INDEX('IMPORT STATS'!$D$6:$D$205,MATCH($A69,'IMPORT STATS'!$K$6:$K$205,0))="","",INDEX('IMPORT STATS'!$D$6:$D$205,MATCH($A69,'IMPORT STATS'!$K$6:$K$205,0)))))</f>
        <v/>
      </c>
      <c r="G69">
        <f>IF(OR($E69="",$F69=""),"",($E69-$F69)*SETTINGS!$B$17)</f>
        <v/>
      </c>
      <c r="H69">
        <f>IF($A69="","",IF(AND($D69="",$G69=""),"",IF($D69="",$G69,IF($G69="",$D69,SETTINGS!$B$18*$D69+SETTINGS!$B$19*$G69))))</f>
        <v/>
      </c>
    </row>
    <row r="70">
      <c r="A70">
        <f>IF('TEAM RATINGS'!$A70="","",'TEAM RATINGS'!$A70)</f>
        <v/>
      </c>
      <c r="B70">
        <f>IF($A70="","",SUMIFS(CLEAN!$X$6:$X$1005,CLEAN!$P$6:$P$1005,$A70)+SUMIFS(CLEAN!$Z$6:$Z$1005,CLEAN!$N$6:$N$1005,$A70))</f>
        <v/>
      </c>
      <c r="C70">
        <f>IF($A70="","",SUMIFS(CLEAN!$Y$6:$Y$1005,CLEAN!$P$6:$P$1005,$A70)+SUMIFS(CLEAN!$AA$6:$AA$1005,CLEAN!$N$6:$N$1005,$A70))</f>
        <v/>
      </c>
      <c r="D70">
        <f>IF($A70="","",IF($C70&gt;0,$B70/$C70,""))</f>
        <v/>
      </c>
      <c r="E70">
        <f>IF($A70="","",IF(ISNA(MATCH($A70,'IMPORT STATS'!$K$6:$K$205,0)),"",IF(INDEX('IMPORT STATS'!$C$6:$C$205,MATCH($A70,'IMPORT STATS'!$K$6:$K$205,0))="","",INDEX('IMPORT STATS'!$C$6:$C$205,MATCH($A70,'IMPORT STATS'!$K$6:$K$205,0)))))</f>
        <v/>
      </c>
      <c r="F70">
        <f>IF($A70="","",IF(ISNA(MATCH($A70,'IMPORT STATS'!$K$6:$K$205,0)),"",IF(INDEX('IMPORT STATS'!$D$6:$D$205,MATCH($A70,'IMPORT STATS'!$K$6:$K$205,0))="","",INDEX('IMPORT STATS'!$D$6:$D$205,MATCH($A70,'IMPORT STATS'!$K$6:$K$205,0)))))</f>
        <v/>
      </c>
      <c r="G70">
        <f>IF(OR($E70="",$F70=""),"",($E70-$F70)*SETTINGS!$B$17)</f>
        <v/>
      </c>
      <c r="H70">
        <f>IF($A70="","",IF(AND($D70="",$G70=""),"",IF($D70="",$G70,IF($G70="",$D70,SETTINGS!$B$18*$D70+SETTINGS!$B$19*$G70))))</f>
        <v/>
      </c>
    </row>
    <row r="71">
      <c r="A71">
        <f>IF('TEAM RATINGS'!$A71="","",'TEAM RATINGS'!$A71)</f>
        <v/>
      </c>
      <c r="B71">
        <f>IF($A71="","",SUMIFS(CLEAN!$X$6:$X$1005,CLEAN!$P$6:$P$1005,$A71)+SUMIFS(CLEAN!$Z$6:$Z$1005,CLEAN!$N$6:$N$1005,$A71))</f>
        <v/>
      </c>
      <c r="C71">
        <f>IF($A71="","",SUMIFS(CLEAN!$Y$6:$Y$1005,CLEAN!$P$6:$P$1005,$A71)+SUMIFS(CLEAN!$AA$6:$AA$1005,CLEAN!$N$6:$N$1005,$A71))</f>
        <v/>
      </c>
      <c r="D71">
        <f>IF($A71="","",IF($C71&gt;0,$B71/$C71,""))</f>
        <v/>
      </c>
      <c r="E71">
        <f>IF($A71="","",IF(ISNA(MATCH($A71,'IMPORT STATS'!$K$6:$K$205,0)),"",IF(INDEX('IMPORT STATS'!$C$6:$C$205,MATCH($A71,'IMPORT STATS'!$K$6:$K$205,0))="","",INDEX('IMPORT STATS'!$C$6:$C$205,MATCH($A71,'IMPORT STATS'!$K$6:$K$205,0)))))</f>
        <v/>
      </c>
      <c r="F71">
        <f>IF($A71="","",IF(ISNA(MATCH($A71,'IMPORT STATS'!$K$6:$K$205,0)),"",IF(INDEX('IMPORT STATS'!$D$6:$D$205,MATCH($A71,'IMPORT STATS'!$K$6:$K$205,0))="","",INDEX('IMPORT STATS'!$D$6:$D$205,MATCH($A71,'IMPORT STATS'!$K$6:$K$205,0)))))</f>
        <v/>
      </c>
      <c r="G71">
        <f>IF(OR($E71="",$F71=""),"",($E71-$F71)*SETTINGS!$B$17)</f>
        <v/>
      </c>
      <c r="H71">
        <f>IF($A71="","",IF(AND($D71="",$G71=""),"",IF($D71="",$G71,IF($G71="",$D71,SETTINGS!$B$18*$D71+SETTINGS!$B$19*$G71))))</f>
        <v/>
      </c>
    </row>
    <row r="72">
      <c r="A72">
        <f>IF('TEAM RATINGS'!$A72="","",'TEAM RATINGS'!$A72)</f>
        <v/>
      </c>
      <c r="B72">
        <f>IF($A72="","",SUMIFS(CLEAN!$X$6:$X$1005,CLEAN!$P$6:$P$1005,$A72)+SUMIFS(CLEAN!$Z$6:$Z$1005,CLEAN!$N$6:$N$1005,$A72))</f>
        <v/>
      </c>
      <c r="C72">
        <f>IF($A72="","",SUMIFS(CLEAN!$Y$6:$Y$1005,CLEAN!$P$6:$P$1005,$A72)+SUMIFS(CLEAN!$AA$6:$AA$1005,CLEAN!$N$6:$N$1005,$A72))</f>
        <v/>
      </c>
      <c r="D72">
        <f>IF($A72="","",IF($C72&gt;0,$B72/$C72,""))</f>
        <v/>
      </c>
      <c r="E72">
        <f>IF($A72="","",IF(ISNA(MATCH($A72,'IMPORT STATS'!$K$6:$K$205,0)),"",IF(INDEX('IMPORT STATS'!$C$6:$C$205,MATCH($A72,'IMPORT STATS'!$K$6:$K$205,0))="","",INDEX('IMPORT STATS'!$C$6:$C$205,MATCH($A72,'IMPORT STATS'!$K$6:$K$205,0)))))</f>
        <v/>
      </c>
      <c r="F72">
        <f>IF($A72="","",IF(ISNA(MATCH($A72,'IMPORT STATS'!$K$6:$K$205,0)),"",IF(INDEX('IMPORT STATS'!$D$6:$D$205,MATCH($A72,'IMPORT STATS'!$K$6:$K$205,0))="","",INDEX('IMPORT STATS'!$D$6:$D$205,MATCH($A72,'IMPORT STATS'!$K$6:$K$205,0)))))</f>
        <v/>
      </c>
      <c r="G72">
        <f>IF(OR($E72="",$F72=""),"",($E72-$F72)*SETTINGS!$B$17)</f>
        <v/>
      </c>
      <c r="H72">
        <f>IF($A72="","",IF(AND($D72="",$G72=""),"",IF($D72="",$G72,IF($G72="",$D72,SETTINGS!$B$18*$D72+SETTINGS!$B$19*$G72))))</f>
        <v/>
      </c>
    </row>
    <row r="73">
      <c r="A73">
        <f>IF('TEAM RATINGS'!$A73="","",'TEAM RATINGS'!$A73)</f>
        <v/>
      </c>
      <c r="B73">
        <f>IF($A73="","",SUMIFS(CLEAN!$X$6:$X$1005,CLEAN!$P$6:$P$1005,$A73)+SUMIFS(CLEAN!$Z$6:$Z$1005,CLEAN!$N$6:$N$1005,$A73))</f>
        <v/>
      </c>
      <c r="C73">
        <f>IF($A73="","",SUMIFS(CLEAN!$Y$6:$Y$1005,CLEAN!$P$6:$P$1005,$A73)+SUMIFS(CLEAN!$AA$6:$AA$1005,CLEAN!$N$6:$N$1005,$A73))</f>
        <v/>
      </c>
      <c r="D73">
        <f>IF($A73="","",IF($C73&gt;0,$B73/$C73,""))</f>
        <v/>
      </c>
      <c r="E73">
        <f>IF($A73="","",IF(ISNA(MATCH($A73,'IMPORT STATS'!$K$6:$K$205,0)),"",IF(INDEX('IMPORT STATS'!$C$6:$C$205,MATCH($A73,'IMPORT STATS'!$K$6:$K$205,0))="","",INDEX('IMPORT STATS'!$C$6:$C$205,MATCH($A73,'IMPORT STATS'!$K$6:$K$205,0)))))</f>
        <v/>
      </c>
      <c r="F73">
        <f>IF($A73="","",IF(ISNA(MATCH($A73,'IMPORT STATS'!$K$6:$K$205,0)),"",IF(INDEX('IMPORT STATS'!$D$6:$D$205,MATCH($A73,'IMPORT STATS'!$K$6:$K$205,0))="","",INDEX('IMPORT STATS'!$D$6:$D$205,MATCH($A73,'IMPORT STATS'!$K$6:$K$205,0)))))</f>
        <v/>
      </c>
      <c r="G73">
        <f>IF(OR($E73="",$F73=""),"",($E73-$F73)*SETTINGS!$B$17)</f>
        <v/>
      </c>
      <c r="H73">
        <f>IF($A73="","",IF(AND($D73="",$G73=""),"",IF($D73="",$G73,IF($G73="",$D73,SETTINGS!$B$18*$D73+SETTINGS!$B$19*$G73))))</f>
        <v/>
      </c>
    </row>
    <row r="74">
      <c r="A74">
        <f>IF('TEAM RATINGS'!$A74="","",'TEAM RATINGS'!$A74)</f>
        <v/>
      </c>
      <c r="B74">
        <f>IF($A74="","",SUMIFS(CLEAN!$X$6:$X$1005,CLEAN!$P$6:$P$1005,$A74)+SUMIFS(CLEAN!$Z$6:$Z$1005,CLEAN!$N$6:$N$1005,$A74))</f>
        <v/>
      </c>
      <c r="C74">
        <f>IF($A74="","",SUMIFS(CLEAN!$Y$6:$Y$1005,CLEAN!$P$6:$P$1005,$A74)+SUMIFS(CLEAN!$AA$6:$AA$1005,CLEAN!$N$6:$N$1005,$A74))</f>
        <v/>
      </c>
      <c r="D74">
        <f>IF($A74="","",IF($C74&gt;0,$B74/$C74,""))</f>
        <v/>
      </c>
      <c r="E74">
        <f>IF($A74="","",IF(ISNA(MATCH($A74,'IMPORT STATS'!$K$6:$K$205,0)),"",IF(INDEX('IMPORT STATS'!$C$6:$C$205,MATCH($A74,'IMPORT STATS'!$K$6:$K$205,0))="","",INDEX('IMPORT STATS'!$C$6:$C$205,MATCH($A74,'IMPORT STATS'!$K$6:$K$205,0)))))</f>
        <v/>
      </c>
      <c r="F74">
        <f>IF($A74="","",IF(ISNA(MATCH($A74,'IMPORT STATS'!$K$6:$K$205,0)),"",IF(INDEX('IMPORT STATS'!$D$6:$D$205,MATCH($A74,'IMPORT STATS'!$K$6:$K$205,0))="","",INDEX('IMPORT STATS'!$D$6:$D$205,MATCH($A74,'IMPORT STATS'!$K$6:$K$205,0)))))</f>
        <v/>
      </c>
      <c r="G74">
        <f>IF(OR($E74="",$F74=""),"",($E74-$F74)*SETTINGS!$B$17)</f>
        <v/>
      </c>
      <c r="H74">
        <f>IF($A74="","",IF(AND($D74="",$G74=""),"",IF($D74="",$G74,IF($G74="",$D74,SETTINGS!$B$18*$D74+SETTINGS!$B$19*$G74))))</f>
        <v/>
      </c>
    </row>
    <row r="75">
      <c r="A75">
        <f>IF('TEAM RATINGS'!$A75="","",'TEAM RATINGS'!$A75)</f>
        <v/>
      </c>
      <c r="B75">
        <f>IF($A75="","",SUMIFS(CLEAN!$X$6:$X$1005,CLEAN!$P$6:$P$1005,$A75)+SUMIFS(CLEAN!$Z$6:$Z$1005,CLEAN!$N$6:$N$1005,$A75))</f>
        <v/>
      </c>
      <c r="C75">
        <f>IF($A75="","",SUMIFS(CLEAN!$Y$6:$Y$1005,CLEAN!$P$6:$P$1005,$A75)+SUMIFS(CLEAN!$AA$6:$AA$1005,CLEAN!$N$6:$N$1005,$A75))</f>
        <v/>
      </c>
      <c r="D75">
        <f>IF($A75="","",IF($C75&gt;0,$B75/$C75,""))</f>
        <v/>
      </c>
      <c r="E75">
        <f>IF($A75="","",IF(ISNA(MATCH($A75,'IMPORT STATS'!$K$6:$K$205,0)),"",IF(INDEX('IMPORT STATS'!$C$6:$C$205,MATCH($A75,'IMPORT STATS'!$K$6:$K$205,0))="","",INDEX('IMPORT STATS'!$C$6:$C$205,MATCH($A75,'IMPORT STATS'!$K$6:$K$205,0)))))</f>
        <v/>
      </c>
      <c r="F75">
        <f>IF($A75="","",IF(ISNA(MATCH($A75,'IMPORT STATS'!$K$6:$K$205,0)),"",IF(INDEX('IMPORT STATS'!$D$6:$D$205,MATCH($A75,'IMPORT STATS'!$K$6:$K$205,0))="","",INDEX('IMPORT STATS'!$D$6:$D$205,MATCH($A75,'IMPORT STATS'!$K$6:$K$205,0)))))</f>
        <v/>
      </c>
      <c r="G75">
        <f>IF(OR($E75="",$F75=""),"",($E75-$F75)*SETTINGS!$B$17)</f>
        <v/>
      </c>
      <c r="H75">
        <f>IF($A75="","",IF(AND($D75="",$G75=""),"",IF($D75="",$G75,IF($G75="",$D75,SETTINGS!$B$18*$D75+SETTINGS!$B$19*$G75))))</f>
        <v/>
      </c>
    </row>
    <row r="76">
      <c r="A76">
        <f>IF('TEAM RATINGS'!$A76="","",'TEAM RATINGS'!$A76)</f>
        <v/>
      </c>
      <c r="B76">
        <f>IF($A76="","",SUMIFS(CLEAN!$X$6:$X$1005,CLEAN!$P$6:$P$1005,$A76)+SUMIFS(CLEAN!$Z$6:$Z$1005,CLEAN!$N$6:$N$1005,$A76))</f>
        <v/>
      </c>
      <c r="C76">
        <f>IF($A76="","",SUMIFS(CLEAN!$Y$6:$Y$1005,CLEAN!$P$6:$P$1005,$A76)+SUMIFS(CLEAN!$AA$6:$AA$1005,CLEAN!$N$6:$N$1005,$A76))</f>
        <v/>
      </c>
      <c r="D76">
        <f>IF($A76="","",IF($C76&gt;0,$B76/$C76,""))</f>
        <v/>
      </c>
      <c r="E76">
        <f>IF($A76="","",IF(ISNA(MATCH($A76,'IMPORT STATS'!$K$6:$K$205,0)),"",IF(INDEX('IMPORT STATS'!$C$6:$C$205,MATCH($A76,'IMPORT STATS'!$K$6:$K$205,0))="","",INDEX('IMPORT STATS'!$C$6:$C$205,MATCH($A76,'IMPORT STATS'!$K$6:$K$205,0)))))</f>
        <v/>
      </c>
      <c r="F76">
        <f>IF($A76="","",IF(ISNA(MATCH($A76,'IMPORT STATS'!$K$6:$K$205,0)),"",IF(INDEX('IMPORT STATS'!$D$6:$D$205,MATCH($A76,'IMPORT STATS'!$K$6:$K$205,0))="","",INDEX('IMPORT STATS'!$D$6:$D$205,MATCH($A76,'IMPORT STATS'!$K$6:$K$205,0)))))</f>
        <v/>
      </c>
      <c r="G76">
        <f>IF(OR($E76="",$F76=""),"",($E76-$F76)*SETTINGS!$B$17)</f>
        <v/>
      </c>
      <c r="H76">
        <f>IF($A76="","",IF(AND($D76="",$G76=""),"",IF($D76="",$G76,IF($G76="",$D76,SETTINGS!$B$18*$D76+SETTINGS!$B$19*$G76))))</f>
        <v/>
      </c>
    </row>
    <row r="77">
      <c r="A77">
        <f>IF('TEAM RATINGS'!$A77="","",'TEAM RATINGS'!$A77)</f>
        <v/>
      </c>
      <c r="B77">
        <f>IF($A77="","",SUMIFS(CLEAN!$X$6:$X$1005,CLEAN!$P$6:$P$1005,$A77)+SUMIFS(CLEAN!$Z$6:$Z$1005,CLEAN!$N$6:$N$1005,$A77))</f>
        <v/>
      </c>
      <c r="C77">
        <f>IF($A77="","",SUMIFS(CLEAN!$Y$6:$Y$1005,CLEAN!$P$6:$P$1005,$A77)+SUMIFS(CLEAN!$AA$6:$AA$1005,CLEAN!$N$6:$N$1005,$A77))</f>
        <v/>
      </c>
      <c r="D77">
        <f>IF($A77="","",IF($C77&gt;0,$B77/$C77,""))</f>
        <v/>
      </c>
      <c r="E77">
        <f>IF($A77="","",IF(ISNA(MATCH($A77,'IMPORT STATS'!$K$6:$K$205,0)),"",IF(INDEX('IMPORT STATS'!$C$6:$C$205,MATCH($A77,'IMPORT STATS'!$K$6:$K$205,0))="","",INDEX('IMPORT STATS'!$C$6:$C$205,MATCH($A77,'IMPORT STATS'!$K$6:$K$205,0)))))</f>
        <v/>
      </c>
      <c r="F77">
        <f>IF($A77="","",IF(ISNA(MATCH($A77,'IMPORT STATS'!$K$6:$K$205,0)),"",IF(INDEX('IMPORT STATS'!$D$6:$D$205,MATCH($A77,'IMPORT STATS'!$K$6:$K$205,0))="","",INDEX('IMPORT STATS'!$D$6:$D$205,MATCH($A77,'IMPORT STATS'!$K$6:$K$205,0)))))</f>
        <v/>
      </c>
      <c r="G77">
        <f>IF(OR($E77="",$F77=""),"",($E77-$F77)*SETTINGS!$B$17)</f>
        <v/>
      </c>
      <c r="H77">
        <f>IF($A77="","",IF(AND($D77="",$G77=""),"",IF($D77="",$G77,IF($G77="",$D77,SETTINGS!$B$18*$D77+SETTINGS!$B$19*$G77))))</f>
        <v/>
      </c>
    </row>
    <row r="78">
      <c r="A78">
        <f>IF('TEAM RATINGS'!$A78="","",'TEAM RATINGS'!$A78)</f>
        <v/>
      </c>
      <c r="B78">
        <f>IF($A78="","",SUMIFS(CLEAN!$X$6:$X$1005,CLEAN!$P$6:$P$1005,$A78)+SUMIFS(CLEAN!$Z$6:$Z$1005,CLEAN!$N$6:$N$1005,$A78))</f>
        <v/>
      </c>
      <c r="C78">
        <f>IF($A78="","",SUMIFS(CLEAN!$Y$6:$Y$1005,CLEAN!$P$6:$P$1005,$A78)+SUMIFS(CLEAN!$AA$6:$AA$1005,CLEAN!$N$6:$N$1005,$A78))</f>
        <v/>
      </c>
      <c r="D78">
        <f>IF($A78="","",IF($C78&gt;0,$B78/$C78,""))</f>
        <v/>
      </c>
      <c r="E78">
        <f>IF($A78="","",IF(ISNA(MATCH($A78,'IMPORT STATS'!$K$6:$K$205,0)),"",IF(INDEX('IMPORT STATS'!$C$6:$C$205,MATCH($A78,'IMPORT STATS'!$K$6:$K$205,0))="","",INDEX('IMPORT STATS'!$C$6:$C$205,MATCH($A78,'IMPORT STATS'!$K$6:$K$205,0)))))</f>
        <v/>
      </c>
      <c r="F78">
        <f>IF($A78="","",IF(ISNA(MATCH($A78,'IMPORT STATS'!$K$6:$K$205,0)),"",IF(INDEX('IMPORT STATS'!$D$6:$D$205,MATCH($A78,'IMPORT STATS'!$K$6:$K$205,0))="","",INDEX('IMPORT STATS'!$D$6:$D$205,MATCH($A78,'IMPORT STATS'!$K$6:$K$205,0)))))</f>
        <v/>
      </c>
      <c r="G78">
        <f>IF(OR($E78="",$F78=""),"",($E78-$F78)*SETTINGS!$B$17)</f>
        <v/>
      </c>
      <c r="H78">
        <f>IF($A78="","",IF(AND($D78="",$G78=""),"",IF($D78="",$G78,IF($G78="",$D78,SETTINGS!$B$18*$D78+SETTINGS!$B$19*$G78))))</f>
        <v/>
      </c>
    </row>
    <row r="79">
      <c r="A79">
        <f>IF('TEAM RATINGS'!$A79="","",'TEAM RATINGS'!$A79)</f>
        <v/>
      </c>
      <c r="B79">
        <f>IF($A79="","",SUMIFS(CLEAN!$X$6:$X$1005,CLEAN!$P$6:$P$1005,$A79)+SUMIFS(CLEAN!$Z$6:$Z$1005,CLEAN!$N$6:$N$1005,$A79))</f>
        <v/>
      </c>
      <c r="C79">
        <f>IF($A79="","",SUMIFS(CLEAN!$Y$6:$Y$1005,CLEAN!$P$6:$P$1005,$A79)+SUMIFS(CLEAN!$AA$6:$AA$1005,CLEAN!$N$6:$N$1005,$A79))</f>
        <v/>
      </c>
      <c r="D79">
        <f>IF($A79="","",IF($C79&gt;0,$B79/$C79,""))</f>
        <v/>
      </c>
      <c r="E79">
        <f>IF($A79="","",IF(ISNA(MATCH($A79,'IMPORT STATS'!$K$6:$K$205,0)),"",IF(INDEX('IMPORT STATS'!$C$6:$C$205,MATCH($A79,'IMPORT STATS'!$K$6:$K$205,0))="","",INDEX('IMPORT STATS'!$C$6:$C$205,MATCH($A79,'IMPORT STATS'!$K$6:$K$205,0)))))</f>
        <v/>
      </c>
      <c r="F79">
        <f>IF($A79="","",IF(ISNA(MATCH($A79,'IMPORT STATS'!$K$6:$K$205,0)),"",IF(INDEX('IMPORT STATS'!$D$6:$D$205,MATCH($A79,'IMPORT STATS'!$K$6:$K$205,0))="","",INDEX('IMPORT STATS'!$D$6:$D$205,MATCH($A79,'IMPORT STATS'!$K$6:$K$205,0)))))</f>
        <v/>
      </c>
      <c r="G79">
        <f>IF(OR($E79="",$F79=""),"",($E79-$F79)*SETTINGS!$B$17)</f>
        <v/>
      </c>
      <c r="H79">
        <f>IF($A79="","",IF(AND($D79="",$G79=""),"",IF($D79="",$G79,IF($G79="",$D79,SETTINGS!$B$18*$D79+SETTINGS!$B$19*$G79))))</f>
        <v/>
      </c>
    </row>
    <row r="80">
      <c r="A80">
        <f>IF('TEAM RATINGS'!$A80="","",'TEAM RATINGS'!$A80)</f>
        <v/>
      </c>
      <c r="B80">
        <f>IF($A80="","",SUMIFS(CLEAN!$X$6:$X$1005,CLEAN!$P$6:$P$1005,$A80)+SUMIFS(CLEAN!$Z$6:$Z$1005,CLEAN!$N$6:$N$1005,$A80))</f>
        <v/>
      </c>
      <c r="C80">
        <f>IF($A80="","",SUMIFS(CLEAN!$Y$6:$Y$1005,CLEAN!$P$6:$P$1005,$A80)+SUMIFS(CLEAN!$AA$6:$AA$1005,CLEAN!$N$6:$N$1005,$A80))</f>
        <v/>
      </c>
      <c r="D80">
        <f>IF($A80="","",IF($C80&gt;0,$B80/$C80,""))</f>
        <v/>
      </c>
      <c r="E80">
        <f>IF($A80="","",IF(ISNA(MATCH($A80,'IMPORT STATS'!$K$6:$K$205,0)),"",IF(INDEX('IMPORT STATS'!$C$6:$C$205,MATCH($A80,'IMPORT STATS'!$K$6:$K$205,0))="","",INDEX('IMPORT STATS'!$C$6:$C$205,MATCH($A80,'IMPORT STATS'!$K$6:$K$205,0)))))</f>
        <v/>
      </c>
      <c r="F80">
        <f>IF($A80="","",IF(ISNA(MATCH($A80,'IMPORT STATS'!$K$6:$K$205,0)),"",IF(INDEX('IMPORT STATS'!$D$6:$D$205,MATCH($A80,'IMPORT STATS'!$K$6:$K$205,0))="","",INDEX('IMPORT STATS'!$D$6:$D$205,MATCH($A80,'IMPORT STATS'!$K$6:$K$205,0)))))</f>
        <v/>
      </c>
      <c r="G80">
        <f>IF(OR($E80="",$F80=""),"",($E80-$F80)*SETTINGS!$B$17)</f>
        <v/>
      </c>
      <c r="H80">
        <f>IF($A80="","",IF(AND($D80="",$G80=""),"",IF($D80="",$G80,IF($G80="",$D80,SETTINGS!$B$18*$D80+SETTINGS!$B$19*$G80))))</f>
        <v/>
      </c>
    </row>
    <row r="81">
      <c r="A81">
        <f>IF('TEAM RATINGS'!$A81="","",'TEAM RATINGS'!$A81)</f>
        <v/>
      </c>
      <c r="B81">
        <f>IF($A81="","",SUMIFS(CLEAN!$X$6:$X$1005,CLEAN!$P$6:$P$1005,$A81)+SUMIFS(CLEAN!$Z$6:$Z$1005,CLEAN!$N$6:$N$1005,$A81))</f>
        <v/>
      </c>
      <c r="C81">
        <f>IF($A81="","",SUMIFS(CLEAN!$Y$6:$Y$1005,CLEAN!$P$6:$P$1005,$A81)+SUMIFS(CLEAN!$AA$6:$AA$1005,CLEAN!$N$6:$N$1005,$A81))</f>
        <v/>
      </c>
      <c r="D81">
        <f>IF($A81="","",IF($C81&gt;0,$B81/$C81,""))</f>
        <v/>
      </c>
      <c r="E81">
        <f>IF($A81="","",IF(ISNA(MATCH($A81,'IMPORT STATS'!$K$6:$K$205,0)),"",IF(INDEX('IMPORT STATS'!$C$6:$C$205,MATCH($A81,'IMPORT STATS'!$K$6:$K$205,0))="","",INDEX('IMPORT STATS'!$C$6:$C$205,MATCH($A81,'IMPORT STATS'!$K$6:$K$205,0)))))</f>
        <v/>
      </c>
      <c r="F81">
        <f>IF($A81="","",IF(ISNA(MATCH($A81,'IMPORT STATS'!$K$6:$K$205,0)),"",IF(INDEX('IMPORT STATS'!$D$6:$D$205,MATCH($A81,'IMPORT STATS'!$K$6:$K$205,0))="","",INDEX('IMPORT STATS'!$D$6:$D$205,MATCH($A81,'IMPORT STATS'!$K$6:$K$205,0)))))</f>
        <v/>
      </c>
      <c r="G81">
        <f>IF(OR($E81="",$F81=""),"",($E81-$F81)*SETTINGS!$B$17)</f>
        <v/>
      </c>
      <c r="H81">
        <f>IF($A81="","",IF(AND($D81="",$G81=""),"",IF($D81="",$G81,IF($G81="",$D81,SETTINGS!$B$18*$D81+SETTINGS!$B$19*$G81))))</f>
        <v/>
      </c>
    </row>
    <row r="82">
      <c r="A82">
        <f>IF('TEAM RATINGS'!$A82="","",'TEAM RATINGS'!$A82)</f>
        <v/>
      </c>
      <c r="B82">
        <f>IF($A82="","",SUMIFS(CLEAN!$X$6:$X$1005,CLEAN!$P$6:$P$1005,$A82)+SUMIFS(CLEAN!$Z$6:$Z$1005,CLEAN!$N$6:$N$1005,$A82))</f>
        <v/>
      </c>
      <c r="C82">
        <f>IF($A82="","",SUMIFS(CLEAN!$Y$6:$Y$1005,CLEAN!$P$6:$P$1005,$A82)+SUMIFS(CLEAN!$AA$6:$AA$1005,CLEAN!$N$6:$N$1005,$A82))</f>
        <v/>
      </c>
      <c r="D82">
        <f>IF($A82="","",IF($C82&gt;0,$B82/$C82,""))</f>
        <v/>
      </c>
      <c r="E82">
        <f>IF($A82="","",IF(ISNA(MATCH($A82,'IMPORT STATS'!$K$6:$K$205,0)),"",IF(INDEX('IMPORT STATS'!$C$6:$C$205,MATCH($A82,'IMPORT STATS'!$K$6:$K$205,0))="","",INDEX('IMPORT STATS'!$C$6:$C$205,MATCH($A82,'IMPORT STATS'!$K$6:$K$205,0)))))</f>
        <v/>
      </c>
      <c r="F82">
        <f>IF($A82="","",IF(ISNA(MATCH($A82,'IMPORT STATS'!$K$6:$K$205,0)),"",IF(INDEX('IMPORT STATS'!$D$6:$D$205,MATCH($A82,'IMPORT STATS'!$K$6:$K$205,0))="","",INDEX('IMPORT STATS'!$D$6:$D$205,MATCH($A82,'IMPORT STATS'!$K$6:$K$205,0)))))</f>
        <v/>
      </c>
      <c r="G82">
        <f>IF(OR($E82="",$F82=""),"",($E82-$F82)*SETTINGS!$B$17)</f>
        <v/>
      </c>
      <c r="H82">
        <f>IF($A82="","",IF(AND($D82="",$G82=""),"",IF($D82="",$G82,IF($G82="",$D82,SETTINGS!$B$18*$D82+SETTINGS!$B$19*$G82))))</f>
        <v/>
      </c>
    </row>
    <row r="83">
      <c r="A83">
        <f>IF('TEAM RATINGS'!$A83="","",'TEAM RATINGS'!$A83)</f>
        <v/>
      </c>
      <c r="B83">
        <f>IF($A83="","",SUMIFS(CLEAN!$X$6:$X$1005,CLEAN!$P$6:$P$1005,$A83)+SUMIFS(CLEAN!$Z$6:$Z$1005,CLEAN!$N$6:$N$1005,$A83))</f>
        <v/>
      </c>
      <c r="C83">
        <f>IF($A83="","",SUMIFS(CLEAN!$Y$6:$Y$1005,CLEAN!$P$6:$P$1005,$A83)+SUMIFS(CLEAN!$AA$6:$AA$1005,CLEAN!$N$6:$N$1005,$A83))</f>
        <v/>
      </c>
      <c r="D83">
        <f>IF($A83="","",IF($C83&gt;0,$B83/$C83,""))</f>
        <v/>
      </c>
      <c r="E83">
        <f>IF($A83="","",IF(ISNA(MATCH($A83,'IMPORT STATS'!$K$6:$K$205,0)),"",IF(INDEX('IMPORT STATS'!$C$6:$C$205,MATCH($A83,'IMPORT STATS'!$K$6:$K$205,0))="","",INDEX('IMPORT STATS'!$C$6:$C$205,MATCH($A83,'IMPORT STATS'!$K$6:$K$205,0)))))</f>
        <v/>
      </c>
      <c r="F83">
        <f>IF($A83="","",IF(ISNA(MATCH($A83,'IMPORT STATS'!$K$6:$K$205,0)),"",IF(INDEX('IMPORT STATS'!$D$6:$D$205,MATCH($A83,'IMPORT STATS'!$K$6:$K$205,0))="","",INDEX('IMPORT STATS'!$D$6:$D$205,MATCH($A83,'IMPORT STATS'!$K$6:$K$205,0)))))</f>
        <v/>
      </c>
      <c r="G83">
        <f>IF(OR($E83="",$F83=""),"",($E83-$F83)*SETTINGS!$B$17)</f>
        <v/>
      </c>
      <c r="H83">
        <f>IF($A83="","",IF(AND($D83="",$G83=""),"",IF($D83="",$G83,IF($G83="",$D83,SETTINGS!$B$18*$D83+SETTINGS!$B$19*$G83))))</f>
        <v/>
      </c>
    </row>
    <row r="84">
      <c r="A84">
        <f>IF('TEAM RATINGS'!$A84="","",'TEAM RATINGS'!$A84)</f>
        <v/>
      </c>
      <c r="B84">
        <f>IF($A84="","",SUMIFS(CLEAN!$X$6:$X$1005,CLEAN!$P$6:$P$1005,$A84)+SUMIFS(CLEAN!$Z$6:$Z$1005,CLEAN!$N$6:$N$1005,$A84))</f>
        <v/>
      </c>
      <c r="C84">
        <f>IF($A84="","",SUMIFS(CLEAN!$Y$6:$Y$1005,CLEAN!$P$6:$P$1005,$A84)+SUMIFS(CLEAN!$AA$6:$AA$1005,CLEAN!$N$6:$N$1005,$A84))</f>
        <v/>
      </c>
      <c r="D84">
        <f>IF($A84="","",IF($C84&gt;0,$B84/$C84,""))</f>
        <v/>
      </c>
      <c r="E84">
        <f>IF($A84="","",IF(ISNA(MATCH($A84,'IMPORT STATS'!$K$6:$K$205,0)),"",IF(INDEX('IMPORT STATS'!$C$6:$C$205,MATCH($A84,'IMPORT STATS'!$K$6:$K$205,0))="","",INDEX('IMPORT STATS'!$C$6:$C$205,MATCH($A84,'IMPORT STATS'!$K$6:$K$205,0)))))</f>
        <v/>
      </c>
      <c r="F84">
        <f>IF($A84="","",IF(ISNA(MATCH($A84,'IMPORT STATS'!$K$6:$K$205,0)),"",IF(INDEX('IMPORT STATS'!$D$6:$D$205,MATCH($A84,'IMPORT STATS'!$K$6:$K$205,0))="","",INDEX('IMPORT STATS'!$D$6:$D$205,MATCH($A84,'IMPORT STATS'!$K$6:$K$205,0)))))</f>
        <v/>
      </c>
      <c r="G84">
        <f>IF(OR($E84="",$F84=""),"",($E84-$F84)*SETTINGS!$B$17)</f>
        <v/>
      </c>
      <c r="H84">
        <f>IF($A84="","",IF(AND($D84="",$G84=""),"",IF($D84="",$G84,IF($G84="",$D84,SETTINGS!$B$18*$D84+SETTINGS!$B$19*$G84))))</f>
        <v/>
      </c>
    </row>
    <row r="85">
      <c r="A85">
        <f>IF('TEAM RATINGS'!$A85="","",'TEAM RATINGS'!$A85)</f>
        <v/>
      </c>
      <c r="B85">
        <f>IF($A85="","",SUMIFS(CLEAN!$X$6:$X$1005,CLEAN!$P$6:$P$1005,$A85)+SUMIFS(CLEAN!$Z$6:$Z$1005,CLEAN!$N$6:$N$1005,$A85))</f>
        <v/>
      </c>
      <c r="C85">
        <f>IF($A85="","",SUMIFS(CLEAN!$Y$6:$Y$1005,CLEAN!$P$6:$P$1005,$A85)+SUMIFS(CLEAN!$AA$6:$AA$1005,CLEAN!$N$6:$N$1005,$A85))</f>
        <v/>
      </c>
      <c r="D85">
        <f>IF($A85="","",IF($C85&gt;0,$B85/$C85,""))</f>
        <v/>
      </c>
      <c r="E85">
        <f>IF($A85="","",IF(ISNA(MATCH($A85,'IMPORT STATS'!$K$6:$K$205,0)),"",IF(INDEX('IMPORT STATS'!$C$6:$C$205,MATCH($A85,'IMPORT STATS'!$K$6:$K$205,0))="","",INDEX('IMPORT STATS'!$C$6:$C$205,MATCH($A85,'IMPORT STATS'!$K$6:$K$205,0)))))</f>
        <v/>
      </c>
      <c r="F85">
        <f>IF($A85="","",IF(ISNA(MATCH($A85,'IMPORT STATS'!$K$6:$K$205,0)),"",IF(INDEX('IMPORT STATS'!$D$6:$D$205,MATCH($A85,'IMPORT STATS'!$K$6:$K$205,0))="","",INDEX('IMPORT STATS'!$D$6:$D$205,MATCH($A85,'IMPORT STATS'!$K$6:$K$205,0)))))</f>
        <v/>
      </c>
      <c r="G85">
        <f>IF(OR($E85="",$F85=""),"",($E85-$F85)*SETTINGS!$B$17)</f>
        <v/>
      </c>
      <c r="H85">
        <f>IF($A85="","",IF(AND($D85="",$G85=""),"",IF($D85="",$G85,IF($G85="",$D85,SETTINGS!$B$18*$D85+SETTINGS!$B$19*$G85))))</f>
        <v/>
      </c>
    </row>
    <row r="86">
      <c r="A86">
        <f>IF('TEAM RATINGS'!$A86="","",'TEAM RATINGS'!$A86)</f>
        <v/>
      </c>
      <c r="B86">
        <f>IF($A86="","",SUMIFS(CLEAN!$X$6:$X$1005,CLEAN!$P$6:$P$1005,$A86)+SUMIFS(CLEAN!$Z$6:$Z$1005,CLEAN!$N$6:$N$1005,$A86))</f>
        <v/>
      </c>
      <c r="C86">
        <f>IF($A86="","",SUMIFS(CLEAN!$Y$6:$Y$1005,CLEAN!$P$6:$P$1005,$A86)+SUMIFS(CLEAN!$AA$6:$AA$1005,CLEAN!$N$6:$N$1005,$A86))</f>
        <v/>
      </c>
      <c r="D86">
        <f>IF($A86="","",IF($C86&gt;0,$B86/$C86,""))</f>
        <v/>
      </c>
      <c r="E86">
        <f>IF($A86="","",IF(ISNA(MATCH($A86,'IMPORT STATS'!$K$6:$K$205,0)),"",IF(INDEX('IMPORT STATS'!$C$6:$C$205,MATCH($A86,'IMPORT STATS'!$K$6:$K$205,0))="","",INDEX('IMPORT STATS'!$C$6:$C$205,MATCH($A86,'IMPORT STATS'!$K$6:$K$205,0)))))</f>
        <v/>
      </c>
      <c r="F86">
        <f>IF($A86="","",IF(ISNA(MATCH($A86,'IMPORT STATS'!$K$6:$K$205,0)),"",IF(INDEX('IMPORT STATS'!$D$6:$D$205,MATCH($A86,'IMPORT STATS'!$K$6:$K$205,0))="","",INDEX('IMPORT STATS'!$D$6:$D$205,MATCH($A86,'IMPORT STATS'!$K$6:$K$205,0)))))</f>
        <v/>
      </c>
      <c r="G86">
        <f>IF(OR($E86="",$F86=""),"",($E86-$F86)*SETTINGS!$B$17)</f>
        <v/>
      </c>
      <c r="H86">
        <f>IF($A86="","",IF(AND($D86="",$G86=""),"",IF($D86="",$G86,IF($G86="",$D86,SETTINGS!$B$18*$D86+SETTINGS!$B$19*$G86))))</f>
        <v/>
      </c>
    </row>
    <row r="87">
      <c r="A87">
        <f>IF('TEAM RATINGS'!$A87="","",'TEAM RATINGS'!$A87)</f>
        <v/>
      </c>
      <c r="B87">
        <f>IF($A87="","",SUMIFS(CLEAN!$X$6:$X$1005,CLEAN!$P$6:$P$1005,$A87)+SUMIFS(CLEAN!$Z$6:$Z$1005,CLEAN!$N$6:$N$1005,$A87))</f>
        <v/>
      </c>
      <c r="C87">
        <f>IF($A87="","",SUMIFS(CLEAN!$Y$6:$Y$1005,CLEAN!$P$6:$P$1005,$A87)+SUMIFS(CLEAN!$AA$6:$AA$1005,CLEAN!$N$6:$N$1005,$A87))</f>
        <v/>
      </c>
      <c r="D87">
        <f>IF($A87="","",IF($C87&gt;0,$B87/$C87,""))</f>
        <v/>
      </c>
      <c r="E87">
        <f>IF($A87="","",IF(ISNA(MATCH($A87,'IMPORT STATS'!$K$6:$K$205,0)),"",IF(INDEX('IMPORT STATS'!$C$6:$C$205,MATCH($A87,'IMPORT STATS'!$K$6:$K$205,0))="","",INDEX('IMPORT STATS'!$C$6:$C$205,MATCH($A87,'IMPORT STATS'!$K$6:$K$205,0)))))</f>
        <v/>
      </c>
      <c r="F87">
        <f>IF($A87="","",IF(ISNA(MATCH($A87,'IMPORT STATS'!$K$6:$K$205,0)),"",IF(INDEX('IMPORT STATS'!$D$6:$D$205,MATCH($A87,'IMPORT STATS'!$K$6:$K$205,0))="","",INDEX('IMPORT STATS'!$D$6:$D$205,MATCH($A87,'IMPORT STATS'!$K$6:$K$205,0)))))</f>
        <v/>
      </c>
      <c r="G87">
        <f>IF(OR($E87="",$F87=""),"",($E87-$F87)*SETTINGS!$B$17)</f>
        <v/>
      </c>
      <c r="H87">
        <f>IF($A87="","",IF(AND($D87="",$G87=""),"",IF($D87="",$G87,IF($G87="",$D87,SETTINGS!$B$18*$D87+SETTINGS!$B$19*$G87))))</f>
        <v/>
      </c>
    </row>
    <row r="88">
      <c r="A88">
        <f>IF('TEAM RATINGS'!$A88="","",'TEAM RATINGS'!$A88)</f>
        <v/>
      </c>
      <c r="B88">
        <f>IF($A88="","",SUMIFS(CLEAN!$X$6:$X$1005,CLEAN!$P$6:$P$1005,$A88)+SUMIFS(CLEAN!$Z$6:$Z$1005,CLEAN!$N$6:$N$1005,$A88))</f>
        <v/>
      </c>
      <c r="C88">
        <f>IF($A88="","",SUMIFS(CLEAN!$Y$6:$Y$1005,CLEAN!$P$6:$P$1005,$A88)+SUMIFS(CLEAN!$AA$6:$AA$1005,CLEAN!$N$6:$N$1005,$A88))</f>
        <v/>
      </c>
      <c r="D88">
        <f>IF($A88="","",IF($C88&gt;0,$B88/$C88,""))</f>
        <v/>
      </c>
      <c r="E88">
        <f>IF($A88="","",IF(ISNA(MATCH($A88,'IMPORT STATS'!$K$6:$K$205,0)),"",IF(INDEX('IMPORT STATS'!$C$6:$C$205,MATCH($A88,'IMPORT STATS'!$K$6:$K$205,0))="","",INDEX('IMPORT STATS'!$C$6:$C$205,MATCH($A88,'IMPORT STATS'!$K$6:$K$205,0)))))</f>
        <v/>
      </c>
      <c r="F88">
        <f>IF($A88="","",IF(ISNA(MATCH($A88,'IMPORT STATS'!$K$6:$K$205,0)),"",IF(INDEX('IMPORT STATS'!$D$6:$D$205,MATCH($A88,'IMPORT STATS'!$K$6:$K$205,0))="","",INDEX('IMPORT STATS'!$D$6:$D$205,MATCH($A88,'IMPORT STATS'!$K$6:$K$205,0)))))</f>
        <v/>
      </c>
      <c r="G88">
        <f>IF(OR($E88="",$F88=""),"",($E88-$F88)*SETTINGS!$B$17)</f>
        <v/>
      </c>
      <c r="H88">
        <f>IF($A88="","",IF(AND($D88="",$G88=""),"",IF($D88="",$G88,IF($G88="",$D88,SETTINGS!$B$18*$D88+SETTINGS!$B$19*$G88))))</f>
        <v/>
      </c>
    </row>
    <row r="89">
      <c r="A89">
        <f>IF('TEAM RATINGS'!$A89="","",'TEAM RATINGS'!$A89)</f>
        <v/>
      </c>
      <c r="B89">
        <f>IF($A89="","",SUMIFS(CLEAN!$X$6:$X$1005,CLEAN!$P$6:$P$1005,$A89)+SUMIFS(CLEAN!$Z$6:$Z$1005,CLEAN!$N$6:$N$1005,$A89))</f>
        <v/>
      </c>
      <c r="C89">
        <f>IF($A89="","",SUMIFS(CLEAN!$Y$6:$Y$1005,CLEAN!$P$6:$P$1005,$A89)+SUMIFS(CLEAN!$AA$6:$AA$1005,CLEAN!$N$6:$N$1005,$A89))</f>
        <v/>
      </c>
      <c r="D89">
        <f>IF($A89="","",IF($C89&gt;0,$B89/$C89,""))</f>
        <v/>
      </c>
      <c r="E89">
        <f>IF($A89="","",IF(ISNA(MATCH($A89,'IMPORT STATS'!$K$6:$K$205,0)),"",IF(INDEX('IMPORT STATS'!$C$6:$C$205,MATCH($A89,'IMPORT STATS'!$K$6:$K$205,0))="","",INDEX('IMPORT STATS'!$C$6:$C$205,MATCH($A89,'IMPORT STATS'!$K$6:$K$205,0)))))</f>
        <v/>
      </c>
      <c r="F89">
        <f>IF($A89="","",IF(ISNA(MATCH($A89,'IMPORT STATS'!$K$6:$K$205,0)),"",IF(INDEX('IMPORT STATS'!$D$6:$D$205,MATCH($A89,'IMPORT STATS'!$K$6:$K$205,0))="","",INDEX('IMPORT STATS'!$D$6:$D$205,MATCH($A89,'IMPORT STATS'!$K$6:$K$205,0)))))</f>
        <v/>
      </c>
      <c r="G89">
        <f>IF(OR($E89="",$F89=""),"",($E89-$F89)*SETTINGS!$B$17)</f>
        <v/>
      </c>
      <c r="H89">
        <f>IF($A89="","",IF(AND($D89="",$G89=""),"",IF($D89="",$G89,IF($G89="",$D89,SETTINGS!$B$18*$D89+SETTINGS!$B$19*$G89))))</f>
        <v/>
      </c>
    </row>
    <row r="90">
      <c r="A90">
        <f>IF('TEAM RATINGS'!$A90="","",'TEAM RATINGS'!$A90)</f>
        <v/>
      </c>
      <c r="B90">
        <f>IF($A90="","",SUMIFS(CLEAN!$X$6:$X$1005,CLEAN!$P$6:$P$1005,$A90)+SUMIFS(CLEAN!$Z$6:$Z$1005,CLEAN!$N$6:$N$1005,$A90))</f>
        <v/>
      </c>
      <c r="C90">
        <f>IF($A90="","",SUMIFS(CLEAN!$Y$6:$Y$1005,CLEAN!$P$6:$P$1005,$A90)+SUMIFS(CLEAN!$AA$6:$AA$1005,CLEAN!$N$6:$N$1005,$A90))</f>
        <v/>
      </c>
      <c r="D90">
        <f>IF($A90="","",IF($C90&gt;0,$B90/$C90,""))</f>
        <v/>
      </c>
      <c r="E90">
        <f>IF($A90="","",IF(ISNA(MATCH($A90,'IMPORT STATS'!$K$6:$K$205,0)),"",IF(INDEX('IMPORT STATS'!$C$6:$C$205,MATCH($A90,'IMPORT STATS'!$K$6:$K$205,0))="","",INDEX('IMPORT STATS'!$C$6:$C$205,MATCH($A90,'IMPORT STATS'!$K$6:$K$205,0)))))</f>
        <v/>
      </c>
      <c r="F90">
        <f>IF($A90="","",IF(ISNA(MATCH($A90,'IMPORT STATS'!$K$6:$K$205,0)),"",IF(INDEX('IMPORT STATS'!$D$6:$D$205,MATCH($A90,'IMPORT STATS'!$K$6:$K$205,0))="","",INDEX('IMPORT STATS'!$D$6:$D$205,MATCH($A90,'IMPORT STATS'!$K$6:$K$205,0)))))</f>
        <v/>
      </c>
      <c r="G90">
        <f>IF(OR($E90="",$F90=""),"",($E90-$F90)*SETTINGS!$B$17)</f>
        <v/>
      </c>
      <c r="H90">
        <f>IF($A90="","",IF(AND($D90="",$G90=""),"",IF($D90="",$G90,IF($G90="",$D90,SETTINGS!$B$18*$D90+SETTINGS!$B$19*$G90))))</f>
        <v/>
      </c>
    </row>
    <row r="91">
      <c r="A91">
        <f>IF('TEAM RATINGS'!$A91="","",'TEAM RATINGS'!$A91)</f>
        <v/>
      </c>
      <c r="B91">
        <f>IF($A91="","",SUMIFS(CLEAN!$X$6:$X$1005,CLEAN!$P$6:$P$1005,$A91)+SUMIFS(CLEAN!$Z$6:$Z$1005,CLEAN!$N$6:$N$1005,$A91))</f>
        <v/>
      </c>
      <c r="C91">
        <f>IF($A91="","",SUMIFS(CLEAN!$Y$6:$Y$1005,CLEAN!$P$6:$P$1005,$A91)+SUMIFS(CLEAN!$AA$6:$AA$1005,CLEAN!$N$6:$N$1005,$A91))</f>
        <v/>
      </c>
      <c r="D91">
        <f>IF($A91="","",IF($C91&gt;0,$B91/$C91,""))</f>
        <v/>
      </c>
      <c r="E91">
        <f>IF($A91="","",IF(ISNA(MATCH($A91,'IMPORT STATS'!$K$6:$K$205,0)),"",IF(INDEX('IMPORT STATS'!$C$6:$C$205,MATCH($A91,'IMPORT STATS'!$K$6:$K$205,0))="","",INDEX('IMPORT STATS'!$C$6:$C$205,MATCH($A91,'IMPORT STATS'!$K$6:$K$205,0)))))</f>
        <v/>
      </c>
      <c r="F91">
        <f>IF($A91="","",IF(ISNA(MATCH($A91,'IMPORT STATS'!$K$6:$K$205,0)),"",IF(INDEX('IMPORT STATS'!$D$6:$D$205,MATCH($A91,'IMPORT STATS'!$K$6:$K$205,0))="","",INDEX('IMPORT STATS'!$D$6:$D$205,MATCH($A91,'IMPORT STATS'!$K$6:$K$205,0)))))</f>
        <v/>
      </c>
      <c r="G91">
        <f>IF(OR($E91="",$F91=""),"",($E91-$F91)*SETTINGS!$B$17)</f>
        <v/>
      </c>
      <c r="H91">
        <f>IF($A91="","",IF(AND($D91="",$G91=""),"",IF($D91="",$G91,IF($G91="",$D91,SETTINGS!$B$18*$D91+SETTINGS!$B$19*$G91))))</f>
        <v/>
      </c>
    </row>
    <row r="92">
      <c r="A92">
        <f>IF('TEAM RATINGS'!$A92="","",'TEAM RATINGS'!$A92)</f>
        <v/>
      </c>
      <c r="B92">
        <f>IF($A92="","",SUMIFS(CLEAN!$X$6:$X$1005,CLEAN!$P$6:$P$1005,$A92)+SUMIFS(CLEAN!$Z$6:$Z$1005,CLEAN!$N$6:$N$1005,$A92))</f>
        <v/>
      </c>
      <c r="C92">
        <f>IF($A92="","",SUMIFS(CLEAN!$Y$6:$Y$1005,CLEAN!$P$6:$P$1005,$A92)+SUMIFS(CLEAN!$AA$6:$AA$1005,CLEAN!$N$6:$N$1005,$A92))</f>
        <v/>
      </c>
      <c r="D92">
        <f>IF($A92="","",IF($C92&gt;0,$B92/$C92,""))</f>
        <v/>
      </c>
      <c r="E92">
        <f>IF($A92="","",IF(ISNA(MATCH($A92,'IMPORT STATS'!$K$6:$K$205,0)),"",IF(INDEX('IMPORT STATS'!$C$6:$C$205,MATCH($A92,'IMPORT STATS'!$K$6:$K$205,0))="","",INDEX('IMPORT STATS'!$C$6:$C$205,MATCH($A92,'IMPORT STATS'!$K$6:$K$205,0)))))</f>
        <v/>
      </c>
      <c r="F92">
        <f>IF($A92="","",IF(ISNA(MATCH($A92,'IMPORT STATS'!$K$6:$K$205,0)),"",IF(INDEX('IMPORT STATS'!$D$6:$D$205,MATCH($A92,'IMPORT STATS'!$K$6:$K$205,0))="","",INDEX('IMPORT STATS'!$D$6:$D$205,MATCH($A92,'IMPORT STATS'!$K$6:$K$205,0)))))</f>
        <v/>
      </c>
      <c r="G92">
        <f>IF(OR($E92="",$F92=""),"",($E92-$F92)*SETTINGS!$B$17)</f>
        <v/>
      </c>
      <c r="H92">
        <f>IF($A92="","",IF(AND($D92="",$G92=""),"",IF($D92="",$G92,IF($G92="",$D92,SETTINGS!$B$18*$D92+SETTINGS!$B$19*$G92))))</f>
        <v/>
      </c>
    </row>
    <row r="93">
      <c r="A93">
        <f>IF('TEAM RATINGS'!$A93="","",'TEAM RATINGS'!$A93)</f>
        <v/>
      </c>
      <c r="B93">
        <f>IF($A93="","",SUMIFS(CLEAN!$X$6:$X$1005,CLEAN!$P$6:$P$1005,$A93)+SUMIFS(CLEAN!$Z$6:$Z$1005,CLEAN!$N$6:$N$1005,$A93))</f>
        <v/>
      </c>
      <c r="C93">
        <f>IF($A93="","",SUMIFS(CLEAN!$Y$6:$Y$1005,CLEAN!$P$6:$P$1005,$A93)+SUMIFS(CLEAN!$AA$6:$AA$1005,CLEAN!$N$6:$N$1005,$A93))</f>
        <v/>
      </c>
      <c r="D93">
        <f>IF($A93="","",IF($C93&gt;0,$B93/$C93,""))</f>
        <v/>
      </c>
      <c r="E93">
        <f>IF($A93="","",IF(ISNA(MATCH($A93,'IMPORT STATS'!$K$6:$K$205,0)),"",IF(INDEX('IMPORT STATS'!$C$6:$C$205,MATCH($A93,'IMPORT STATS'!$K$6:$K$205,0))="","",INDEX('IMPORT STATS'!$C$6:$C$205,MATCH($A93,'IMPORT STATS'!$K$6:$K$205,0)))))</f>
        <v/>
      </c>
      <c r="F93">
        <f>IF($A93="","",IF(ISNA(MATCH($A93,'IMPORT STATS'!$K$6:$K$205,0)),"",IF(INDEX('IMPORT STATS'!$D$6:$D$205,MATCH($A93,'IMPORT STATS'!$K$6:$K$205,0))="","",INDEX('IMPORT STATS'!$D$6:$D$205,MATCH($A93,'IMPORT STATS'!$K$6:$K$205,0)))))</f>
        <v/>
      </c>
      <c r="G93">
        <f>IF(OR($E93="",$F93=""),"",($E93-$F93)*SETTINGS!$B$17)</f>
        <v/>
      </c>
      <c r="H93">
        <f>IF($A93="","",IF(AND($D93="",$G93=""),"",IF($D93="",$G93,IF($G93="",$D93,SETTINGS!$B$18*$D93+SETTINGS!$B$19*$G93))))</f>
        <v/>
      </c>
    </row>
    <row r="94">
      <c r="A94">
        <f>IF('TEAM RATINGS'!$A94="","",'TEAM RATINGS'!$A94)</f>
        <v/>
      </c>
      <c r="B94">
        <f>IF($A94="","",SUMIFS(CLEAN!$X$6:$X$1005,CLEAN!$P$6:$P$1005,$A94)+SUMIFS(CLEAN!$Z$6:$Z$1005,CLEAN!$N$6:$N$1005,$A94))</f>
        <v/>
      </c>
      <c r="C94">
        <f>IF($A94="","",SUMIFS(CLEAN!$Y$6:$Y$1005,CLEAN!$P$6:$P$1005,$A94)+SUMIFS(CLEAN!$AA$6:$AA$1005,CLEAN!$N$6:$N$1005,$A94))</f>
        <v/>
      </c>
      <c r="D94">
        <f>IF($A94="","",IF($C94&gt;0,$B94/$C94,""))</f>
        <v/>
      </c>
      <c r="E94">
        <f>IF($A94="","",IF(ISNA(MATCH($A94,'IMPORT STATS'!$K$6:$K$205,0)),"",IF(INDEX('IMPORT STATS'!$C$6:$C$205,MATCH($A94,'IMPORT STATS'!$K$6:$K$205,0))="","",INDEX('IMPORT STATS'!$C$6:$C$205,MATCH($A94,'IMPORT STATS'!$K$6:$K$205,0)))))</f>
        <v/>
      </c>
      <c r="F94">
        <f>IF($A94="","",IF(ISNA(MATCH($A94,'IMPORT STATS'!$K$6:$K$205,0)),"",IF(INDEX('IMPORT STATS'!$D$6:$D$205,MATCH($A94,'IMPORT STATS'!$K$6:$K$205,0))="","",INDEX('IMPORT STATS'!$D$6:$D$205,MATCH($A94,'IMPORT STATS'!$K$6:$K$205,0)))))</f>
        <v/>
      </c>
      <c r="G94">
        <f>IF(OR($E94="",$F94=""),"",($E94-$F94)*SETTINGS!$B$17)</f>
        <v/>
      </c>
      <c r="H94">
        <f>IF($A94="","",IF(AND($D94="",$G94=""),"",IF($D94="",$G94,IF($G94="",$D94,SETTINGS!$B$18*$D94+SETTINGS!$B$19*$G94))))</f>
        <v/>
      </c>
    </row>
    <row r="95">
      <c r="A95">
        <f>IF('TEAM RATINGS'!$A95="","",'TEAM RATINGS'!$A95)</f>
        <v/>
      </c>
      <c r="B95">
        <f>IF($A95="","",SUMIFS(CLEAN!$X$6:$X$1005,CLEAN!$P$6:$P$1005,$A95)+SUMIFS(CLEAN!$Z$6:$Z$1005,CLEAN!$N$6:$N$1005,$A95))</f>
        <v/>
      </c>
      <c r="C95">
        <f>IF($A95="","",SUMIFS(CLEAN!$Y$6:$Y$1005,CLEAN!$P$6:$P$1005,$A95)+SUMIFS(CLEAN!$AA$6:$AA$1005,CLEAN!$N$6:$N$1005,$A95))</f>
        <v/>
      </c>
      <c r="D95">
        <f>IF($A95="","",IF($C95&gt;0,$B95/$C95,""))</f>
        <v/>
      </c>
      <c r="E95">
        <f>IF($A95="","",IF(ISNA(MATCH($A95,'IMPORT STATS'!$K$6:$K$205,0)),"",IF(INDEX('IMPORT STATS'!$C$6:$C$205,MATCH($A95,'IMPORT STATS'!$K$6:$K$205,0))="","",INDEX('IMPORT STATS'!$C$6:$C$205,MATCH($A95,'IMPORT STATS'!$K$6:$K$205,0)))))</f>
        <v/>
      </c>
      <c r="F95">
        <f>IF($A95="","",IF(ISNA(MATCH($A95,'IMPORT STATS'!$K$6:$K$205,0)),"",IF(INDEX('IMPORT STATS'!$D$6:$D$205,MATCH($A95,'IMPORT STATS'!$K$6:$K$205,0))="","",INDEX('IMPORT STATS'!$D$6:$D$205,MATCH($A95,'IMPORT STATS'!$K$6:$K$205,0)))))</f>
        <v/>
      </c>
      <c r="G95">
        <f>IF(OR($E95="",$F95=""),"",($E95-$F95)*SETTINGS!$B$17)</f>
        <v/>
      </c>
      <c r="H95">
        <f>IF($A95="","",IF(AND($D95="",$G95=""),"",IF($D95="",$G95,IF($G95="",$D95,SETTINGS!$B$18*$D95+SETTINGS!$B$19*$G95))))</f>
        <v/>
      </c>
    </row>
    <row r="96">
      <c r="A96">
        <f>IF('TEAM RATINGS'!$A96="","",'TEAM RATINGS'!$A96)</f>
        <v/>
      </c>
      <c r="B96">
        <f>IF($A96="","",SUMIFS(CLEAN!$X$6:$X$1005,CLEAN!$P$6:$P$1005,$A96)+SUMIFS(CLEAN!$Z$6:$Z$1005,CLEAN!$N$6:$N$1005,$A96))</f>
        <v/>
      </c>
      <c r="C96">
        <f>IF($A96="","",SUMIFS(CLEAN!$Y$6:$Y$1005,CLEAN!$P$6:$P$1005,$A96)+SUMIFS(CLEAN!$AA$6:$AA$1005,CLEAN!$N$6:$N$1005,$A96))</f>
        <v/>
      </c>
      <c r="D96">
        <f>IF($A96="","",IF($C96&gt;0,$B96/$C96,""))</f>
        <v/>
      </c>
      <c r="E96">
        <f>IF($A96="","",IF(ISNA(MATCH($A96,'IMPORT STATS'!$K$6:$K$205,0)),"",IF(INDEX('IMPORT STATS'!$C$6:$C$205,MATCH($A96,'IMPORT STATS'!$K$6:$K$205,0))="","",INDEX('IMPORT STATS'!$C$6:$C$205,MATCH($A96,'IMPORT STATS'!$K$6:$K$205,0)))))</f>
        <v/>
      </c>
      <c r="F96">
        <f>IF($A96="","",IF(ISNA(MATCH($A96,'IMPORT STATS'!$K$6:$K$205,0)),"",IF(INDEX('IMPORT STATS'!$D$6:$D$205,MATCH($A96,'IMPORT STATS'!$K$6:$K$205,0))="","",INDEX('IMPORT STATS'!$D$6:$D$205,MATCH($A96,'IMPORT STATS'!$K$6:$K$205,0)))))</f>
        <v/>
      </c>
      <c r="G96">
        <f>IF(OR($E96="",$F96=""),"",($E96-$F96)*SETTINGS!$B$17)</f>
        <v/>
      </c>
      <c r="H96">
        <f>IF($A96="","",IF(AND($D96="",$G96=""),"",IF($D96="",$G96,IF($G96="",$D96,SETTINGS!$B$18*$D96+SETTINGS!$B$19*$G96))))</f>
        <v/>
      </c>
    </row>
    <row r="97">
      <c r="A97">
        <f>IF('TEAM RATINGS'!$A97="","",'TEAM RATINGS'!$A97)</f>
        <v/>
      </c>
      <c r="B97">
        <f>IF($A97="","",SUMIFS(CLEAN!$X$6:$X$1005,CLEAN!$P$6:$P$1005,$A97)+SUMIFS(CLEAN!$Z$6:$Z$1005,CLEAN!$N$6:$N$1005,$A97))</f>
        <v/>
      </c>
      <c r="C97">
        <f>IF($A97="","",SUMIFS(CLEAN!$Y$6:$Y$1005,CLEAN!$P$6:$P$1005,$A97)+SUMIFS(CLEAN!$AA$6:$AA$1005,CLEAN!$N$6:$N$1005,$A97))</f>
        <v/>
      </c>
      <c r="D97">
        <f>IF($A97="","",IF($C97&gt;0,$B97/$C97,""))</f>
        <v/>
      </c>
      <c r="E97">
        <f>IF($A97="","",IF(ISNA(MATCH($A97,'IMPORT STATS'!$K$6:$K$205,0)),"",IF(INDEX('IMPORT STATS'!$C$6:$C$205,MATCH($A97,'IMPORT STATS'!$K$6:$K$205,0))="","",INDEX('IMPORT STATS'!$C$6:$C$205,MATCH($A97,'IMPORT STATS'!$K$6:$K$205,0)))))</f>
        <v/>
      </c>
      <c r="F97">
        <f>IF($A97="","",IF(ISNA(MATCH($A97,'IMPORT STATS'!$K$6:$K$205,0)),"",IF(INDEX('IMPORT STATS'!$D$6:$D$205,MATCH($A97,'IMPORT STATS'!$K$6:$K$205,0))="","",INDEX('IMPORT STATS'!$D$6:$D$205,MATCH($A97,'IMPORT STATS'!$K$6:$K$205,0)))))</f>
        <v/>
      </c>
      <c r="G97">
        <f>IF(OR($E97="",$F97=""),"",($E97-$F97)*SETTINGS!$B$17)</f>
        <v/>
      </c>
      <c r="H97">
        <f>IF($A97="","",IF(AND($D97="",$G97=""),"",IF($D97="",$G97,IF($G97="",$D97,SETTINGS!$B$18*$D97+SETTINGS!$B$19*$G97))))</f>
        <v/>
      </c>
    </row>
    <row r="98">
      <c r="A98">
        <f>IF('TEAM RATINGS'!$A98="","",'TEAM RATINGS'!$A98)</f>
        <v/>
      </c>
      <c r="B98">
        <f>IF($A98="","",SUMIFS(CLEAN!$X$6:$X$1005,CLEAN!$P$6:$P$1005,$A98)+SUMIFS(CLEAN!$Z$6:$Z$1005,CLEAN!$N$6:$N$1005,$A98))</f>
        <v/>
      </c>
      <c r="C98">
        <f>IF($A98="","",SUMIFS(CLEAN!$Y$6:$Y$1005,CLEAN!$P$6:$P$1005,$A98)+SUMIFS(CLEAN!$AA$6:$AA$1005,CLEAN!$N$6:$N$1005,$A98))</f>
        <v/>
      </c>
      <c r="D98">
        <f>IF($A98="","",IF($C98&gt;0,$B98/$C98,""))</f>
        <v/>
      </c>
      <c r="E98">
        <f>IF($A98="","",IF(ISNA(MATCH($A98,'IMPORT STATS'!$K$6:$K$205,0)),"",IF(INDEX('IMPORT STATS'!$C$6:$C$205,MATCH($A98,'IMPORT STATS'!$K$6:$K$205,0))="","",INDEX('IMPORT STATS'!$C$6:$C$205,MATCH($A98,'IMPORT STATS'!$K$6:$K$205,0)))))</f>
        <v/>
      </c>
      <c r="F98">
        <f>IF($A98="","",IF(ISNA(MATCH($A98,'IMPORT STATS'!$K$6:$K$205,0)),"",IF(INDEX('IMPORT STATS'!$D$6:$D$205,MATCH($A98,'IMPORT STATS'!$K$6:$K$205,0))="","",INDEX('IMPORT STATS'!$D$6:$D$205,MATCH($A98,'IMPORT STATS'!$K$6:$K$205,0)))))</f>
        <v/>
      </c>
      <c r="G98">
        <f>IF(OR($E98="",$F98=""),"",($E98-$F98)*SETTINGS!$B$17)</f>
        <v/>
      </c>
      <c r="H98">
        <f>IF($A98="","",IF(AND($D98="",$G98=""),"",IF($D98="",$G98,IF($G98="",$D98,SETTINGS!$B$18*$D98+SETTINGS!$B$19*$G98))))</f>
        <v/>
      </c>
    </row>
    <row r="99">
      <c r="A99">
        <f>IF('TEAM RATINGS'!$A99="","",'TEAM RATINGS'!$A99)</f>
        <v/>
      </c>
      <c r="B99">
        <f>IF($A99="","",SUMIFS(CLEAN!$X$6:$X$1005,CLEAN!$P$6:$P$1005,$A99)+SUMIFS(CLEAN!$Z$6:$Z$1005,CLEAN!$N$6:$N$1005,$A99))</f>
        <v/>
      </c>
      <c r="C99">
        <f>IF($A99="","",SUMIFS(CLEAN!$Y$6:$Y$1005,CLEAN!$P$6:$P$1005,$A99)+SUMIFS(CLEAN!$AA$6:$AA$1005,CLEAN!$N$6:$N$1005,$A99))</f>
        <v/>
      </c>
      <c r="D99">
        <f>IF($A99="","",IF($C99&gt;0,$B99/$C99,""))</f>
        <v/>
      </c>
      <c r="E99">
        <f>IF($A99="","",IF(ISNA(MATCH($A99,'IMPORT STATS'!$K$6:$K$205,0)),"",IF(INDEX('IMPORT STATS'!$C$6:$C$205,MATCH($A99,'IMPORT STATS'!$K$6:$K$205,0))="","",INDEX('IMPORT STATS'!$C$6:$C$205,MATCH($A99,'IMPORT STATS'!$K$6:$K$205,0)))))</f>
        <v/>
      </c>
      <c r="F99">
        <f>IF($A99="","",IF(ISNA(MATCH($A99,'IMPORT STATS'!$K$6:$K$205,0)),"",IF(INDEX('IMPORT STATS'!$D$6:$D$205,MATCH($A99,'IMPORT STATS'!$K$6:$K$205,0))="","",INDEX('IMPORT STATS'!$D$6:$D$205,MATCH($A99,'IMPORT STATS'!$K$6:$K$205,0)))))</f>
        <v/>
      </c>
      <c r="G99">
        <f>IF(OR($E99="",$F99=""),"",($E99-$F99)*SETTINGS!$B$17)</f>
        <v/>
      </c>
      <c r="H99">
        <f>IF($A99="","",IF(AND($D99="",$G99=""),"",IF($D99="",$G99,IF($G99="",$D99,SETTINGS!$B$18*$D99+SETTINGS!$B$19*$G99))))</f>
        <v/>
      </c>
    </row>
    <row r="100">
      <c r="A100">
        <f>IF('TEAM RATINGS'!$A100="","",'TEAM RATINGS'!$A100)</f>
        <v/>
      </c>
      <c r="B100">
        <f>IF($A100="","",SUMIFS(CLEAN!$X$6:$X$1005,CLEAN!$P$6:$P$1005,$A100)+SUMIFS(CLEAN!$Z$6:$Z$1005,CLEAN!$N$6:$N$1005,$A100))</f>
        <v/>
      </c>
      <c r="C100">
        <f>IF($A100="","",SUMIFS(CLEAN!$Y$6:$Y$1005,CLEAN!$P$6:$P$1005,$A100)+SUMIFS(CLEAN!$AA$6:$AA$1005,CLEAN!$N$6:$N$1005,$A100))</f>
        <v/>
      </c>
      <c r="D100">
        <f>IF($A100="","",IF($C100&gt;0,$B100/$C100,""))</f>
        <v/>
      </c>
      <c r="E100">
        <f>IF($A100="","",IF(ISNA(MATCH($A100,'IMPORT STATS'!$K$6:$K$205,0)),"",IF(INDEX('IMPORT STATS'!$C$6:$C$205,MATCH($A100,'IMPORT STATS'!$K$6:$K$205,0))="","",INDEX('IMPORT STATS'!$C$6:$C$205,MATCH($A100,'IMPORT STATS'!$K$6:$K$205,0)))))</f>
        <v/>
      </c>
      <c r="F100">
        <f>IF($A100="","",IF(ISNA(MATCH($A100,'IMPORT STATS'!$K$6:$K$205,0)),"",IF(INDEX('IMPORT STATS'!$D$6:$D$205,MATCH($A100,'IMPORT STATS'!$K$6:$K$205,0))="","",INDEX('IMPORT STATS'!$D$6:$D$205,MATCH($A100,'IMPORT STATS'!$K$6:$K$205,0)))))</f>
        <v/>
      </c>
      <c r="G100">
        <f>IF(OR($E100="",$F100=""),"",($E100-$F100)*SETTINGS!$B$17)</f>
        <v/>
      </c>
      <c r="H100">
        <f>IF($A100="","",IF(AND($D100="",$G100=""),"",IF($D100="",$G100,IF($G100="",$D100,SETTINGS!$B$18*$D100+SETTINGS!$B$19*$G100))))</f>
        <v/>
      </c>
    </row>
    <row r="101">
      <c r="A101">
        <f>IF('TEAM RATINGS'!$A101="","",'TEAM RATINGS'!$A101)</f>
        <v/>
      </c>
      <c r="B101">
        <f>IF($A101="","",SUMIFS(CLEAN!$X$6:$X$1005,CLEAN!$P$6:$P$1005,$A101)+SUMIFS(CLEAN!$Z$6:$Z$1005,CLEAN!$N$6:$N$1005,$A101))</f>
        <v/>
      </c>
      <c r="C101">
        <f>IF($A101="","",SUMIFS(CLEAN!$Y$6:$Y$1005,CLEAN!$P$6:$P$1005,$A101)+SUMIFS(CLEAN!$AA$6:$AA$1005,CLEAN!$N$6:$N$1005,$A101))</f>
        <v/>
      </c>
      <c r="D101">
        <f>IF($A101="","",IF($C101&gt;0,$B101/$C101,""))</f>
        <v/>
      </c>
      <c r="E101">
        <f>IF($A101="","",IF(ISNA(MATCH($A101,'IMPORT STATS'!$K$6:$K$205,0)),"",IF(INDEX('IMPORT STATS'!$C$6:$C$205,MATCH($A101,'IMPORT STATS'!$K$6:$K$205,0))="","",INDEX('IMPORT STATS'!$C$6:$C$205,MATCH($A101,'IMPORT STATS'!$K$6:$K$205,0)))))</f>
        <v/>
      </c>
      <c r="F101">
        <f>IF($A101="","",IF(ISNA(MATCH($A101,'IMPORT STATS'!$K$6:$K$205,0)),"",IF(INDEX('IMPORT STATS'!$D$6:$D$205,MATCH($A101,'IMPORT STATS'!$K$6:$K$205,0))="","",INDEX('IMPORT STATS'!$D$6:$D$205,MATCH($A101,'IMPORT STATS'!$K$6:$K$205,0)))))</f>
        <v/>
      </c>
      <c r="G101">
        <f>IF(OR($E101="",$F101=""),"",($E101-$F101)*SETTINGS!$B$17)</f>
        <v/>
      </c>
      <c r="H101">
        <f>IF($A101="","",IF(AND($D101="",$G101=""),"",IF($D101="",$G101,IF($G101="",$D101,SETTINGS!$B$18*$D101+SETTINGS!$B$19*$G101))))</f>
        <v/>
      </c>
    </row>
    <row r="102">
      <c r="A102">
        <f>IF('TEAM RATINGS'!$A102="","",'TEAM RATINGS'!$A102)</f>
        <v/>
      </c>
      <c r="B102">
        <f>IF($A102="","",SUMIFS(CLEAN!$X$6:$X$1005,CLEAN!$P$6:$P$1005,$A102)+SUMIFS(CLEAN!$Z$6:$Z$1005,CLEAN!$N$6:$N$1005,$A102))</f>
        <v/>
      </c>
      <c r="C102">
        <f>IF($A102="","",SUMIFS(CLEAN!$Y$6:$Y$1005,CLEAN!$P$6:$P$1005,$A102)+SUMIFS(CLEAN!$AA$6:$AA$1005,CLEAN!$N$6:$N$1005,$A102))</f>
        <v/>
      </c>
      <c r="D102">
        <f>IF($A102="","",IF($C102&gt;0,$B102/$C102,""))</f>
        <v/>
      </c>
      <c r="E102">
        <f>IF($A102="","",IF(ISNA(MATCH($A102,'IMPORT STATS'!$K$6:$K$205,0)),"",IF(INDEX('IMPORT STATS'!$C$6:$C$205,MATCH($A102,'IMPORT STATS'!$K$6:$K$205,0))="","",INDEX('IMPORT STATS'!$C$6:$C$205,MATCH($A102,'IMPORT STATS'!$K$6:$K$205,0)))))</f>
        <v/>
      </c>
      <c r="F102">
        <f>IF($A102="","",IF(ISNA(MATCH($A102,'IMPORT STATS'!$K$6:$K$205,0)),"",IF(INDEX('IMPORT STATS'!$D$6:$D$205,MATCH($A102,'IMPORT STATS'!$K$6:$K$205,0))="","",INDEX('IMPORT STATS'!$D$6:$D$205,MATCH($A102,'IMPORT STATS'!$K$6:$K$205,0)))))</f>
        <v/>
      </c>
      <c r="G102">
        <f>IF(OR($E102="",$F102=""),"",($E102-$F102)*SETTINGS!$B$17)</f>
        <v/>
      </c>
      <c r="H102">
        <f>IF($A102="","",IF(AND($D102="",$G102=""),"",IF($D102="",$G102,IF($G102="",$D102,SETTINGS!$B$18*$D102+SETTINGS!$B$19*$G102))))</f>
        <v/>
      </c>
    </row>
    <row r="103">
      <c r="A103">
        <f>IF('TEAM RATINGS'!$A103="","",'TEAM RATINGS'!$A103)</f>
        <v/>
      </c>
      <c r="B103">
        <f>IF($A103="","",SUMIFS(CLEAN!$X$6:$X$1005,CLEAN!$P$6:$P$1005,$A103)+SUMIFS(CLEAN!$Z$6:$Z$1005,CLEAN!$N$6:$N$1005,$A103))</f>
        <v/>
      </c>
      <c r="C103">
        <f>IF($A103="","",SUMIFS(CLEAN!$Y$6:$Y$1005,CLEAN!$P$6:$P$1005,$A103)+SUMIFS(CLEAN!$AA$6:$AA$1005,CLEAN!$N$6:$N$1005,$A103))</f>
        <v/>
      </c>
      <c r="D103">
        <f>IF($A103="","",IF($C103&gt;0,$B103/$C103,""))</f>
        <v/>
      </c>
      <c r="E103">
        <f>IF($A103="","",IF(ISNA(MATCH($A103,'IMPORT STATS'!$K$6:$K$205,0)),"",IF(INDEX('IMPORT STATS'!$C$6:$C$205,MATCH($A103,'IMPORT STATS'!$K$6:$K$205,0))="","",INDEX('IMPORT STATS'!$C$6:$C$205,MATCH($A103,'IMPORT STATS'!$K$6:$K$205,0)))))</f>
        <v/>
      </c>
      <c r="F103">
        <f>IF($A103="","",IF(ISNA(MATCH($A103,'IMPORT STATS'!$K$6:$K$205,0)),"",IF(INDEX('IMPORT STATS'!$D$6:$D$205,MATCH($A103,'IMPORT STATS'!$K$6:$K$205,0))="","",INDEX('IMPORT STATS'!$D$6:$D$205,MATCH($A103,'IMPORT STATS'!$K$6:$K$205,0)))))</f>
        <v/>
      </c>
      <c r="G103">
        <f>IF(OR($E103="",$F103=""),"",($E103-$F103)*SETTINGS!$B$17)</f>
        <v/>
      </c>
      <c r="H103">
        <f>IF($A103="","",IF(AND($D103="",$G103=""),"",IF($D103="",$G103,IF($G103="",$D103,SETTINGS!$B$18*$D103+SETTINGS!$B$19*$G103))))</f>
        <v/>
      </c>
    </row>
    <row r="104">
      <c r="A104">
        <f>IF('TEAM RATINGS'!$A104="","",'TEAM RATINGS'!$A104)</f>
        <v/>
      </c>
      <c r="B104">
        <f>IF($A104="","",SUMIFS(CLEAN!$X$6:$X$1005,CLEAN!$P$6:$P$1005,$A104)+SUMIFS(CLEAN!$Z$6:$Z$1005,CLEAN!$N$6:$N$1005,$A104))</f>
        <v/>
      </c>
      <c r="C104">
        <f>IF($A104="","",SUMIFS(CLEAN!$Y$6:$Y$1005,CLEAN!$P$6:$P$1005,$A104)+SUMIFS(CLEAN!$AA$6:$AA$1005,CLEAN!$N$6:$N$1005,$A104))</f>
        <v/>
      </c>
      <c r="D104">
        <f>IF($A104="","",IF($C104&gt;0,$B104/$C104,""))</f>
        <v/>
      </c>
      <c r="E104">
        <f>IF($A104="","",IF(ISNA(MATCH($A104,'IMPORT STATS'!$K$6:$K$205,0)),"",IF(INDEX('IMPORT STATS'!$C$6:$C$205,MATCH($A104,'IMPORT STATS'!$K$6:$K$205,0))="","",INDEX('IMPORT STATS'!$C$6:$C$205,MATCH($A104,'IMPORT STATS'!$K$6:$K$205,0)))))</f>
        <v/>
      </c>
      <c r="F104">
        <f>IF($A104="","",IF(ISNA(MATCH($A104,'IMPORT STATS'!$K$6:$K$205,0)),"",IF(INDEX('IMPORT STATS'!$D$6:$D$205,MATCH($A104,'IMPORT STATS'!$K$6:$K$205,0))="","",INDEX('IMPORT STATS'!$D$6:$D$205,MATCH($A104,'IMPORT STATS'!$K$6:$K$205,0)))))</f>
        <v/>
      </c>
      <c r="G104">
        <f>IF(OR($E104="",$F104=""),"",($E104-$F104)*SETTINGS!$B$17)</f>
        <v/>
      </c>
      <c r="H104">
        <f>IF($A104="","",IF(AND($D104="",$G104=""),"",IF($D104="",$G104,IF($G104="",$D104,SETTINGS!$B$18*$D104+SETTINGS!$B$19*$G104))))</f>
        <v/>
      </c>
    </row>
    <row r="105">
      <c r="A105">
        <f>IF('TEAM RATINGS'!$A105="","",'TEAM RATINGS'!$A105)</f>
        <v/>
      </c>
      <c r="B105">
        <f>IF($A105="","",SUMIFS(CLEAN!$X$6:$X$1005,CLEAN!$P$6:$P$1005,$A105)+SUMIFS(CLEAN!$Z$6:$Z$1005,CLEAN!$N$6:$N$1005,$A105))</f>
        <v/>
      </c>
      <c r="C105">
        <f>IF($A105="","",SUMIFS(CLEAN!$Y$6:$Y$1005,CLEAN!$P$6:$P$1005,$A105)+SUMIFS(CLEAN!$AA$6:$AA$1005,CLEAN!$N$6:$N$1005,$A105))</f>
        <v/>
      </c>
      <c r="D105">
        <f>IF($A105="","",IF($C105&gt;0,$B105/$C105,""))</f>
        <v/>
      </c>
      <c r="E105">
        <f>IF($A105="","",IF(ISNA(MATCH($A105,'IMPORT STATS'!$K$6:$K$205,0)),"",IF(INDEX('IMPORT STATS'!$C$6:$C$205,MATCH($A105,'IMPORT STATS'!$K$6:$K$205,0))="","",INDEX('IMPORT STATS'!$C$6:$C$205,MATCH($A105,'IMPORT STATS'!$K$6:$K$205,0)))))</f>
        <v/>
      </c>
      <c r="F105">
        <f>IF($A105="","",IF(ISNA(MATCH($A105,'IMPORT STATS'!$K$6:$K$205,0)),"",IF(INDEX('IMPORT STATS'!$D$6:$D$205,MATCH($A105,'IMPORT STATS'!$K$6:$K$205,0))="","",INDEX('IMPORT STATS'!$D$6:$D$205,MATCH($A105,'IMPORT STATS'!$K$6:$K$205,0)))))</f>
        <v/>
      </c>
      <c r="G105">
        <f>IF(OR($E105="",$F105=""),"",($E105-$F105)*SETTINGS!$B$17)</f>
        <v/>
      </c>
      <c r="H105">
        <f>IF($A105="","",IF(AND($D105="",$G105=""),"",IF($D105="",$G105,IF($G105="",$D105,SETTINGS!$B$18*$D105+SETTINGS!$B$19*$G105))))</f>
        <v/>
      </c>
    </row>
    <row r="106">
      <c r="A106">
        <f>IF('TEAM RATINGS'!$A106="","",'TEAM RATINGS'!$A106)</f>
        <v/>
      </c>
      <c r="B106">
        <f>IF($A106="","",SUMIFS(CLEAN!$X$6:$X$1005,CLEAN!$P$6:$P$1005,$A106)+SUMIFS(CLEAN!$Z$6:$Z$1005,CLEAN!$N$6:$N$1005,$A106))</f>
        <v/>
      </c>
      <c r="C106">
        <f>IF($A106="","",SUMIFS(CLEAN!$Y$6:$Y$1005,CLEAN!$P$6:$P$1005,$A106)+SUMIFS(CLEAN!$AA$6:$AA$1005,CLEAN!$N$6:$N$1005,$A106))</f>
        <v/>
      </c>
      <c r="D106">
        <f>IF($A106="","",IF($C106&gt;0,$B106/$C106,""))</f>
        <v/>
      </c>
      <c r="E106">
        <f>IF($A106="","",IF(ISNA(MATCH($A106,'IMPORT STATS'!$K$6:$K$205,0)),"",IF(INDEX('IMPORT STATS'!$C$6:$C$205,MATCH($A106,'IMPORT STATS'!$K$6:$K$205,0))="","",INDEX('IMPORT STATS'!$C$6:$C$205,MATCH($A106,'IMPORT STATS'!$K$6:$K$205,0)))))</f>
        <v/>
      </c>
      <c r="F106">
        <f>IF($A106="","",IF(ISNA(MATCH($A106,'IMPORT STATS'!$K$6:$K$205,0)),"",IF(INDEX('IMPORT STATS'!$D$6:$D$205,MATCH($A106,'IMPORT STATS'!$K$6:$K$205,0))="","",INDEX('IMPORT STATS'!$D$6:$D$205,MATCH($A106,'IMPORT STATS'!$K$6:$K$205,0)))))</f>
        <v/>
      </c>
      <c r="G106">
        <f>IF(OR($E106="",$F106=""),"",($E106-$F106)*SETTINGS!$B$17)</f>
        <v/>
      </c>
      <c r="H106">
        <f>IF($A106="","",IF(AND($D106="",$G106=""),"",IF($D106="",$G106,IF($G106="",$D106,SETTINGS!$B$18*$D106+SETTINGS!$B$19*$G106))))</f>
        <v/>
      </c>
    </row>
    <row r="107">
      <c r="A107">
        <f>IF('TEAM RATINGS'!$A107="","",'TEAM RATINGS'!$A107)</f>
        <v/>
      </c>
      <c r="B107">
        <f>IF($A107="","",SUMIFS(CLEAN!$X$6:$X$1005,CLEAN!$P$6:$P$1005,$A107)+SUMIFS(CLEAN!$Z$6:$Z$1005,CLEAN!$N$6:$N$1005,$A107))</f>
        <v/>
      </c>
      <c r="C107">
        <f>IF($A107="","",SUMIFS(CLEAN!$Y$6:$Y$1005,CLEAN!$P$6:$P$1005,$A107)+SUMIFS(CLEAN!$AA$6:$AA$1005,CLEAN!$N$6:$N$1005,$A107))</f>
        <v/>
      </c>
      <c r="D107">
        <f>IF($A107="","",IF($C107&gt;0,$B107/$C107,""))</f>
        <v/>
      </c>
      <c r="E107">
        <f>IF($A107="","",IF(ISNA(MATCH($A107,'IMPORT STATS'!$K$6:$K$205,0)),"",IF(INDEX('IMPORT STATS'!$C$6:$C$205,MATCH($A107,'IMPORT STATS'!$K$6:$K$205,0))="","",INDEX('IMPORT STATS'!$C$6:$C$205,MATCH($A107,'IMPORT STATS'!$K$6:$K$205,0)))))</f>
        <v/>
      </c>
      <c r="F107">
        <f>IF($A107="","",IF(ISNA(MATCH($A107,'IMPORT STATS'!$K$6:$K$205,0)),"",IF(INDEX('IMPORT STATS'!$D$6:$D$205,MATCH($A107,'IMPORT STATS'!$K$6:$K$205,0))="","",INDEX('IMPORT STATS'!$D$6:$D$205,MATCH($A107,'IMPORT STATS'!$K$6:$K$205,0)))))</f>
        <v/>
      </c>
      <c r="G107">
        <f>IF(OR($E107="",$F107=""),"",($E107-$F107)*SETTINGS!$B$17)</f>
        <v/>
      </c>
      <c r="H107">
        <f>IF($A107="","",IF(AND($D107="",$G107=""),"",IF($D107="",$G107,IF($G107="",$D107,SETTINGS!$B$18*$D107+SETTINGS!$B$19*$G107))))</f>
        <v/>
      </c>
    </row>
    <row r="108">
      <c r="A108">
        <f>IF('TEAM RATINGS'!$A108="","",'TEAM RATINGS'!$A108)</f>
        <v/>
      </c>
      <c r="B108">
        <f>IF($A108="","",SUMIFS(CLEAN!$X$6:$X$1005,CLEAN!$P$6:$P$1005,$A108)+SUMIFS(CLEAN!$Z$6:$Z$1005,CLEAN!$N$6:$N$1005,$A108))</f>
        <v/>
      </c>
      <c r="C108">
        <f>IF($A108="","",SUMIFS(CLEAN!$Y$6:$Y$1005,CLEAN!$P$6:$P$1005,$A108)+SUMIFS(CLEAN!$AA$6:$AA$1005,CLEAN!$N$6:$N$1005,$A108))</f>
        <v/>
      </c>
      <c r="D108">
        <f>IF($A108="","",IF($C108&gt;0,$B108/$C108,""))</f>
        <v/>
      </c>
      <c r="E108">
        <f>IF($A108="","",IF(ISNA(MATCH($A108,'IMPORT STATS'!$K$6:$K$205,0)),"",IF(INDEX('IMPORT STATS'!$C$6:$C$205,MATCH($A108,'IMPORT STATS'!$K$6:$K$205,0))="","",INDEX('IMPORT STATS'!$C$6:$C$205,MATCH($A108,'IMPORT STATS'!$K$6:$K$205,0)))))</f>
        <v/>
      </c>
      <c r="F108">
        <f>IF($A108="","",IF(ISNA(MATCH($A108,'IMPORT STATS'!$K$6:$K$205,0)),"",IF(INDEX('IMPORT STATS'!$D$6:$D$205,MATCH($A108,'IMPORT STATS'!$K$6:$K$205,0))="","",INDEX('IMPORT STATS'!$D$6:$D$205,MATCH($A108,'IMPORT STATS'!$K$6:$K$205,0)))))</f>
        <v/>
      </c>
      <c r="G108">
        <f>IF(OR($E108="",$F108=""),"",($E108-$F108)*SETTINGS!$B$17)</f>
        <v/>
      </c>
      <c r="H108">
        <f>IF($A108="","",IF(AND($D108="",$G108=""),"",IF($D108="",$G108,IF($G108="",$D108,SETTINGS!$B$18*$D108+SETTINGS!$B$19*$G108))))</f>
        <v/>
      </c>
    </row>
    <row r="109">
      <c r="A109">
        <f>IF('TEAM RATINGS'!$A109="","",'TEAM RATINGS'!$A109)</f>
        <v/>
      </c>
      <c r="B109">
        <f>IF($A109="","",SUMIFS(CLEAN!$X$6:$X$1005,CLEAN!$P$6:$P$1005,$A109)+SUMIFS(CLEAN!$Z$6:$Z$1005,CLEAN!$N$6:$N$1005,$A109))</f>
        <v/>
      </c>
      <c r="C109">
        <f>IF($A109="","",SUMIFS(CLEAN!$Y$6:$Y$1005,CLEAN!$P$6:$P$1005,$A109)+SUMIFS(CLEAN!$AA$6:$AA$1005,CLEAN!$N$6:$N$1005,$A109))</f>
        <v/>
      </c>
      <c r="D109">
        <f>IF($A109="","",IF($C109&gt;0,$B109/$C109,""))</f>
        <v/>
      </c>
      <c r="E109">
        <f>IF($A109="","",IF(ISNA(MATCH($A109,'IMPORT STATS'!$K$6:$K$205,0)),"",IF(INDEX('IMPORT STATS'!$C$6:$C$205,MATCH($A109,'IMPORT STATS'!$K$6:$K$205,0))="","",INDEX('IMPORT STATS'!$C$6:$C$205,MATCH($A109,'IMPORT STATS'!$K$6:$K$205,0)))))</f>
        <v/>
      </c>
      <c r="F109">
        <f>IF($A109="","",IF(ISNA(MATCH($A109,'IMPORT STATS'!$K$6:$K$205,0)),"",IF(INDEX('IMPORT STATS'!$D$6:$D$205,MATCH($A109,'IMPORT STATS'!$K$6:$K$205,0))="","",INDEX('IMPORT STATS'!$D$6:$D$205,MATCH($A109,'IMPORT STATS'!$K$6:$K$205,0)))))</f>
        <v/>
      </c>
      <c r="G109">
        <f>IF(OR($E109="",$F109=""),"",($E109-$F109)*SETTINGS!$B$17)</f>
        <v/>
      </c>
      <c r="H109">
        <f>IF($A109="","",IF(AND($D109="",$G109=""),"",IF($D109="",$G109,IF($G109="",$D109,SETTINGS!$B$18*$D109+SETTINGS!$B$19*$G109))))</f>
        <v/>
      </c>
    </row>
    <row r="110">
      <c r="A110">
        <f>IF('TEAM RATINGS'!$A110="","",'TEAM RATINGS'!$A110)</f>
        <v/>
      </c>
      <c r="B110">
        <f>IF($A110="","",SUMIFS(CLEAN!$X$6:$X$1005,CLEAN!$P$6:$P$1005,$A110)+SUMIFS(CLEAN!$Z$6:$Z$1005,CLEAN!$N$6:$N$1005,$A110))</f>
        <v/>
      </c>
      <c r="C110">
        <f>IF($A110="","",SUMIFS(CLEAN!$Y$6:$Y$1005,CLEAN!$P$6:$P$1005,$A110)+SUMIFS(CLEAN!$AA$6:$AA$1005,CLEAN!$N$6:$N$1005,$A110))</f>
        <v/>
      </c>
      <c r="D110">
        <f>IF($A110="","",IF($C110&gt;0,$B110/$C110,""))</f>
        <v/>
      </c>
      <c r="E110">
        <f>IF($A110="","",IF(ISNA(MATCH($A110,'IMPORT STATS'!$K$6:$K$205,0)),"",IF(INDEX('IMPORT STATS'!$C$6:$C$205,MATCH($A110,'IMPORT STATS'!$K$6:$K$205,0))="","",INDEX('IMPORT STATS'!$C$6:$C$205,MATCH($A110,'IMPORT STATS'!$K$6:$K$205,0)))))</f>
        <v/>
      </c>
      <c r="F110">
        <f>IF($A110="","",IF(ISNA(MATCH($A110,'IMPORT STATS'!$K$6:$K$205,0)),"",IF(INDEX('IMPORT STATS'!$D$6:$D$205,MATCH($A110,'IMPORT STATS'!$K$6:$K$205,0))="","",INDEX('IMPORT STATS'!$D$6:$D$205,MATCH($A110,'IMPORT STATS'!$K$6:$K$205,0)))))</f>
        <v/>
      </c>
      <c r="G110">
        <f>IF(OR($E110="",$F110=""),"",($E110-$F110)*SETTINGS!$B$17)</f>
        <v/>
      </c>
      <c r="H110">
        <f>IF($A110="","",IF(AND($D110="",$G110=""),"",IF($D110="",$G110,IF($G110="",$D110,SETTINGS!$B$18*$D110+SETTINGS!$B$19*$G110))))</f>
        <v/>
      </c>
    </row>
    <row r="111">
      <c r="A111">
        <f>IF('TEAM RATINGS'!$A111="","",'TEAM RATINGS'!$A111)</f>
        <v/>
      </c>
      <c r="B111">
        <f>IF($A111="","",SUMIFS(CLEAN!$X$6:$X$1005,CLEAN!$P$6:$P$1005,$A111)+SUMIFS(CLEAN!$Z$6:$Z$1005,CLEAN!$N$6:$N$1005,$A111))</f>
        <v/>
      </c>
      <c r="C111">
        <f>IF($A111="","",SUMIFS(CLEAN!$Y$6:$Y$1005,CLEAN!$P$6:$P$1005,$A111)+SUMIFS(CLEAN!$AA$6:$AA$1005,CLEAN!$N$6:$N$1005,$A111))</f>
        <v/>
      </c>
      <c r="D111">
        <f>IF($A111="","",IF($C111&gt;0,$B111/$C111,""))</f>
        <v/>
      </c>
      <c r="E111">
        <f>IF($A111="","",IF(ISNA(MATCH($A111,'IMPORT STATS'!$K$6:$K$205,0)),"",IF(INDEX('IMPORT STATS'!$C$6:$C$205,MATCH($A111,'IMPORT STATS'!$K$6:$K$205,0))="","",INDEX('IMPORT STATS'!$C$6:$C$205,MATCH($A111,'IMPORT STATS'!$K$6:$K$205,0)))))</f>
        <v/>
      </c>
      <c r="F111">
        <f>IF($A111="","",IF(ISNA(MATCH($A111,'IMPORT STATS'!$K$6:$K$205,0)),"",IF(INDEX('IMPORT STATS'!$D$6:$D$205,MATCH($A111,'IMPORT STATS'!$K$6:$K$205,0))="","",INDEX('IMPORT STATS'!$D$6:$D$205,MATCH($A111,'IMPORT STATS'!$K$6:$K$205,0)))))</f>
        <v/>
      </c>
      <c r="G111">
        <f>IF(OR($E111="",$F111=""),"",($E111-$F111)*SETTINGS!$B$17)</f>
        <v/>
      </c>
      <c r="H111">
        <f>IF($A111="","",IF(AND($D111="",$G111=""),"",IF($D111="",$G111,IF($G111="",$D111,SETTINGS!$B$18*$D111+SETTINGS!$B$19*$G111))))</f>
        <v/>
      </c>
    </row>
    <row r="112">
      <c r="A112">
        <f>IF('TEAM RATINGS'!$A112="","",'TEAM RATINGS'!$A112)</f>
        <v/>
      </c>
      <c r="B112">
        <f>IF($A112="","",SUMIFS(CLEAN!$X$6:$X$1005,CLEAN!$P$6:$P$1005,$A112)+SUMIFS(CLEAN!$Z$6:$Z$1005,CLEAN!$N$6:$N$1005,$A112))</f>
        <v/>
      </c>
      <c r="C112">
        <f>IF($A112="","",SUMIFS(CLEAN!$Y$6:$Y$1005,CLEAN!$P$6:$P$1005,$A112)+SUMIFS(CLEAN!$AA$6:$AA$1005,CLEAN!$N$6:$N$1005,$A112))</f>
        <v/>
      </c>
      <c r="D112">
        <f>IF($A112="","",IF($C112&gt;0,$B112/$C112,""))</f>
        <v/>
      </c>
      <c r="E112">
        <f>IF($A112="","",IF(ISNA(MATCH($A112,'IMPORT STATS'!$K$6:$K$205,0)),"",IF(INDEX('IMPORT STATS'!$C$6:$C$205,MATCH($A112,'IMPORT STATS'!$K$6:$K$205,0))="","",INDEX('IMPORT STATS'!$C$6:$C$205,MATCH($A112,'IMPORT STATS'!$K$6:$K$205,0)))))</f>
        <v/>
      </c>
      <c r="F112">
        <f>IF($A112="","",IF(ISNA(MATCH($A112,'IMPORT STATS'!$K$6:$K$205,0)),"",IF(INDEX('IMPORT STATS'!$D$6:$D$205,MATCH($A112,'IMPORT STATS'!$K$6:$K$205,0))="","",INDEX('IMPORT STATS'!$D$6:$D$205,MATCH($A112,'IMPORT STATS'!$K$6:$K$205,0)))))</f>
        <v/>
      </c>
      <c r="G112">
        <f>IF(OR($E112="",$F112=""),"",($E112-$F112)*SETTINGS!$B$17)</f>
        <v/>
      </c>
      <c r="H112">
        <f>IF($A112="","",IF(AND($D112="",$G112=""),"",IF($D112="",$G112,IF($G112="",$D112,SETTINGS!$B$18*$D112+SETTINGS!$B$19*$G112))))</f>
        <v/>
      </c>
    </row>
    <row r="113">
      <c r="A113">
        <f>IF('TEAM RATINGS'!$A113="","",'TEAM RATINGS'!$A113)</f>
        <v/>
      </c>
      <c r="B113">
        <f>IF($A113="","",SUMIFS(CLEAN!$X$6:$X$1005,CLEAN!$P$6:$P$1005,$A113)+SUMIFS(CLEAN!$Z$6:$Z$1005,CLEAN!$N$6:$N$1005,$A113))</f>
        <v/>
      </c>
      <c r="C113">
        <f>IF($A113="","",SUMIFS(CLEAN!$Y$6:$Y$1005,CLEAN!$P$6:$P$1005,$A113)+SUMIFS(CLEAN!$AA$6:$AA$1005,CLEAN!$N$6:$N$1005,$A113))</f>
        <v/>
      </c>
      <c r="D113">
        <f>IF($A113="","",IF($C113&gt;0,$B113/$C113,""))</f>
        <v/>
      </c>
      <c r="E113">
        <f>IF($A113="","",IF(ISNA(MATCH($A113,'IMPORT STATS'!$K$6:$K$205,0)),"",IF(INDEX('IMPORT STATS'!$C$6:$C$205,MATCH($A113,'IMPORT STATS'!$K$6:$K$205,0))="","",INDEX('IMPORT STATS'!$C$6:$C$205,MATCH($A113,'IMPORT STATS'!$K$6:$K$205,0)))))</f>
        <v/>
      </c>
      <c r="F113">
        <f>IF($A113="","",IF(ISNA(MATCH($A113,'IMPORT STATS'!$K$6:$K$205,0)),"",IF(INDEX('IMPORT STATS'!$D$6:$D$205,MATCH($A113,'IMPORT STATS'!$K$6:$K$205,0))="","",INDEX('IMPORT STATS'!$D$6:$D$205,MATCH($A113,'IMPORT STATS'!$K$6:$K$205,0)))))</f>
        <v/>
      </c>
      <c r="G113">
        <f>IF(OR($E113="",$F113=""),"",($E113-$F113)*SETTINGS!$B$17)</f>
        <v/>
      </c>
      <c r="H113">
        <f>IF($A113="","",IF(AND($D113="",$G113=""),"",IF($D113="",$G113,IF($G113="",$D113,SETTINGS!$B$18*$D113+SETTINGS!$B$19*$G113))))</f>
        <v/>
      </c>
    </row>
    <row r="114">
      <c r="A114">
        <f>IF('TEAM RATINGS'!$A114="","",'TEAM RATINGS'!$A114)</f>
        <v/>
      </c>
      <c r="B114">
        <f>IF($A114="","",SUMIFS(CLEAN!$X$6:$X$1005,CLEAN!$P$6:$P$1005,$A114)+SUMIFS(CLEAN!$Z$6:$Z$1005,CLEAN!$N$6:$N$1005,$A114))</f>
        <v/>
      </c>
      <c r="C114">
        <f>IF($A114="","",SUMIFS(CLEAN!$Y$6:$Y$1005,CLEAN!$P$6:$P$1005,$A114)+SUMIFS(CLEAN!$AA$6:$AA$1005,CLEAN!$N$6:$N$1005,$A114))</f>
        <v/>
      </c>
      <c r="D114">
        <f>IF($A114="","",IF($C114&gt;0,$B114/$C114,""))</f>
        <v/>
      </c>
      <c r="E114">
        <f>IF($A114="","",IF(ISNA(MATCH($A114,'IMPORT STATS'!$K$6:$K$205,0)),"",IF(INDEX('IMPORT STATS'!$C$6:$C$205,MATCH($A114,'IMPORT STATS'!$K$6:$K$205,0))="","",INDEX('IMPORT STATS'!$C$6:$C$205,MATCH($A114,'IMPORT STATS'!$K$6:$K$205,0)))))</f>
        <v/>
      </c>
      <c r="F114">
        <f>IF($A114="","",IF(ISNA(MATCH($A114,'IMPORT STATS'!$K$6:$K$205,0)),"",IF(INDEX('IMPORT STATS'!$D$6:$D$205,MATCH($A114,'IMPORT STATS'!$K$6:$K$205,0))="","",INDEX('IMPORT STATS'!$D$6:$D$205,MATCH($A114,'IMPORT STATS'!$K$6:$K$205,0)))))</f>
        <v/>
      </c>
      <c r="G114">
        <f>IF(OR($E114="",$F114=""),"",($E114-$F114)*SETTINGS!$B$17)</f>
        <v/>
      </c>
      <c r="H114">
        <f>IF($A114="","",IF(AND($D114="",$G114=""),"",IF($D114="",$G114,IF($G114="",$D114,SETTINGS!$B$18*$D114+SETTINGS!$B$19*$G114))))</f>
        <v/>
      </c>
    </row>
    <row r="115">
      <c r="A115">
        <f>IF('TEAM RATINGS'!$A115="","",'TEAM RATINGS'!$A115)</f>
        <v/>
      </c>
      <c r="B115">
        <f>IF($A115="","",SUMIFS(CLEAN!$X$6:$X$1005,CLEAN!$P$6:$P$1005,$A115)+SUMIFS(CLEAN!$Z$6:$Z$1005,CLEAN!$N$6:$N$1005,$A115))</f>
        <v/>
      </c>
      <c r="C115">
        <f>IF($A115="","",SUMIFS(CLEAN!$Y$6:$Y$1005,CLEAN!$P$6:$P$1005,$A115)+SUMIFS(CLEAN!$AA$6:$AA$1005,CLEAN!$N$6:$N$1005,$A115))</f>
        <v/>
      </c>
      <c r="D115">
        <f>IF($A115="","",IF($C115&gt;0,$B115/$C115,""))</f>
        <v/>
      </c>
      <c r="E115">
        <f>IF($A115="","",IF(ISNA(MATCH($A115,'IMPORT STATS'!$K$6:$K$205,0)),"",IF(INDEX('IMPORT STATS'!$C$6:$C$205,MATCH($A115,'IMPORT STATS'!$K$6:$K$205,0))="","",INDEX('IMPORT STATS'!$C$6:$C$205,MATCH($A115,'IMPORT STATS'!$K$6:$K$205,0)))))</f>
        <v/>
      </c>
      <c r="F115">
        <f>IF($A115="","",IF(ISNA(MATCH($A115,'IMPORT STATS'!$K$6:$K$205,0)),"",IF(INDEX('IMPORT STATS'!$D$6:$D$205,MATCH($A115,'IMPORT STATS'!$K$6:$K$205,0))="","",INDEX('IMPORT STATS'!$D$6:$D$205,MATCH($A115,'IMPORT STATS'!$K$6:$K$205,0)))))</f>
        <v/>
      </c>
      <c r="G115">
        <f>IF(OR($E115="",$F115=""),"",($E115-$F115)*SETTINGS!$B$17)</f>
        <v/>
      </c>
      <c r="H115">
        <f>IF($A115="","",IF(AND($D115="",$G115=""),"",IF($D115="",$G115,IF($G115="",$D115,SETTINGS!$B$18*$D115+SETTINGS!$B$19*$G115))))</f>
        <v/>
      </c>
    </row>
    <row r="116">
      <c r="A116">
        <f>IF('TEAM RATINGS'!$A116="","",'TEAM RATINGS'!$A116)</f>
        <v/>
      </c>
      <c r="B116">
        <f>IF($A116="","",SUMIFS(CLEAN!$X$6:$X$1005,CLEAN!$P$6:$P$1005,$A116)+SUMIFS(CLEAN!$Z$6:$Z$1005,CLEAN!$N$6:$N$1005,$A116))</f>
        <v/>
      </c>
      <c r="C116">
        <f>IF($A116="","",SUMIFS(CLEAN!$Y$6:$Y$1005,CLEAN!$P$6:$P$1005,$A116)+SUMIFS(CLEAN!$AA$6:$AA$1005,CLEAN!$N$6:$N$1005,$A116))</f>
        <v/>
      </c>
      <c r="D116">
        <f>IF($A116="","",IF($C116&gt;0,$B116/$C116,""))</f>
        <v/>
      </c>
      <c r="E116">
        <f>IF($A116="","",IF(ISNA(MATCH($A116,'IMPORT STATS'!$K$6:$K$205,0)),"",IF(INDEX('IMPORT STATS'!$C$6:$C$205,MATCH($A116,'IMPORT STATS'!$K$6:$K$205,0))="","",INDEX('IMPORT STATS'!$C$6:$C$205,MATCH($A116,'IMPORT STATS'!$K$6:$K$205,0)))))</f>
        <v/>
      </c>
      <c r="F116">
        <f>IF($A116="","",IF(ISNA(MATCH($A116,'IMPORT STATS'!$K$6:$K$205,0)),"",IF(INDEX('IMPORT STATS'!$D$6:$D$205,MATCH($A116,'IMPORT STATS'!$K$6:$K$205,0))="","",INDEX('IMPORT STATS'!$D$6:$D$205,MATCH($A116,'IMPORT STATS'!$K$6:$K$205,0)))))</f>
        <v/>
      </c>
      <c r="G116">
        <f>IF(OR($E116="",$F116=""),"",($E116-$F116)*SETTINGS!$B$17)</f>
        <v/>
      </c>
      <c r="H116">
        <f>IF($A116="","",IF(AND($D116="",$G116=""),"",IF($D116="",$G116,IF($G116="",$D116,SETTINGS!$B$18*$D116+SETTINGS!$B$19*$G116))))</f>
        <v/>
      </c>
    </row>
    <row r="117">
      <c r="A117">
        <f>IF('TEAM RATINGS'!$A117="","",'TEAM RATINGS'!$A117)</f>
        <v/>
      </c>
      <c r="B117">
        <f>IF($A117="","",SUMIFS(CLEAN!$X$6:$X$1005,CLEAN!$P$6:$P$1005,$A117)+SUMIFS(CLEAN!$Z$6:$Z$1005,CLEAN!$N$6:$N$1005,$A117))</f>
        <v/>
      </c>
      <c r="C117">
        <f>IF($A117="","",SUMIFS(CLEAN!$Y$6:$Y$1005,CLEAN!$P$6:$P$1005,$A117)+SUMIFS(CLEAN!$AA$6:$AA$1005,CLEAN!$N$6:$N$1005,$A117))</f>
        <v/>
      </c>
      <c r="D117">
        <f>IF($A117="","",IF($C117&gt;0,$B117/$C117,""))</f>
        <v/>
      </c>
      <c r="E117">
        <f>IF($A117="","",IF(ISNA(MATCH($A117,'IMPORT STATS'!$K$6:$K$205,0)),"",IF(INDEX('IMPORT STATS'!$C$6:$C$205,MATCH($A117,'IMPORT STATS'!$K$6:$K$205,0))="","",INDEX('IMPORT STATS'!$C$6:$C$205,MATCH($A117,'IMPORT STATS'!$K$6:$K$205,0)))))</f>
        <v/>
      </c>
      <c r="F117">
        <f>IF($A117="","",IF(ISNA(MATCH($A117,'IMPORT STATS'!$K$6:$K$205,0)),"",IF(INDEX('IMPORT STATS'!$D$6:$D$205,MATCH($A117,'IMPORT STATS'!$K$6:$K$205,0))="","",INDEX('IMPORT STATS'!$D$6:$D$205,MATCH($A117,'IMPORT STATS'!$K$6:$K$205,0)))))</f>
        <v/>
      </c>
      <c r="G117">
        <f>IF(OR($E117="",$F117=""),"",($E117-$F117)*SETTINGS!$B$17)</f>
        <v/>
      </c>
      <c r="H117">
        <f>IF($A117="","",IF(AND($D117="",$G117=""),"",IF($D117="",$G117,IF($G117="",$D117,SETTINGS!$B$18*$D117+SETTINGS!$B$19*$G117))))</f>
        <v/>
      </c>
    </row>
    <row r="118">
      <c r="A118">
        <f>IF('TEAM RATINGS'!$A118="","",'TEAM RATINGS'!$A118)</f>
        <v/>
      </c>
      <c r="B118">
        <f>IF($A118="","",SUMIFS(CLEAN!$X$6:$X$1005,CLEAN!$P$6:$P$1005,$A118)+SUMIFS(CLEAN!$Z$6:$Z$1005,CLEAN!$N$6:$N$1005,$A118))</f>
        <v/>
      </c>
      <c r="C118">
        <f>IF($A118="","",SUMIFS(CLEAN!$Y$6:$Y$1005,CLEAN!$P$6:$P$1005,$A118)+SUMIFS(CLEAN!$AA$6:$AA$1005,CLEAN!$N$6:$N$1005,$A118))</f>
        <v/>
      </c>
      <c r="D118">
        <f>IF($A118="","",IF($C118&gt;0,$B118/$C118,""))</f>
        <v/>
      </c>
      <c r="E118">
        <f>IF($A118="","",IF(ISNA(MATCH($A118,'IMPORT STATS'!$K$6:$K$205,0)),"",IF(INDEX('IMPORT STATS'!$C$6:$C$205,MATCH($A118,'IMPORT STATS'!$K$6:$K$205,0))="","",INDEX('IMPORT STATS'!$C$6:$C$205,MATCH($A118,'IMPORT STATS'!$K$6:$K$205,0)))))</f>
        <v/>
      </c>
      <c r="F118">
        <f>IF($A118="","",IF(ISNA(MATCH($A118,'IMPORT STATS'!$K$6:$K$205,0)),"",IF(INDEX('IMPORT STATS'!$D$6:$D$205,MATCH($A118,'IMPORT STATS'!$K$6:$K$205,0))="","",INDEX('IMPORT STATS'!$D$6:$D$205,MATCH($A118,'IMPORT STATS'!$K$6:$K$205,0)))))</f>
        <v/>
      </c>
      <c r="G118">
        <f>IF(OR($E118="",$F118=""),"",($E118-$F118)*SETTINGS!$B$17)</f>
        <v/>
      </c>
      <c r="H118">
        <f>IF($A118="","",IF(AND($D118="",$G118=""),"",IF($D118="",$G118,IF($G118="",$D118,SETTINGS!$B$18*$D118+SETTINGS!$B$19*$G118))))</f>
        <v/>
      </c>
    </row>
    <row r="119">
      <c r="A119">
        <f>IF('TEAM RATINGS'!$A119="","",'TEAM RATINGS'!$A119)</f>
        <v/>
      </c>
      <c r="B119">
        <f>IF($A119="","",SUMIFS(CLEAN!$X$6:$X$1005,CLEAN!$P$6:$P$1005,$A119)+SUMIFS(CLEAN!$Z$6:$Z$1005,CLEAN!$N$6:$N$1005,$A119))</f>
        <v/>
      </c>
      <c r="C119">
        <f>IF($A119="","",SUMIFS(CLEAN!$Y$6:$Y$1005,CLEAN!$P$6:$P$1005,$A119)+SUMIFS(CLEAN!$AA$6:$AA$1005,CLEAN!$N$6:$N$1005,$A119))</f>
        <v/>
      </c>
      <c r="D119">
        <f>IF($A119="","",IF($C119&gt;0,$B119/$C119,""))</f>
        <v/>
      </c>
      <c r="E119">
        <f>IF($A119="","",IF(ISNA(MATCH($A119,'IMPORT STATS'!$K$6:$K$205,0)),"",IF(INDEX('IMPORT STATS'!$C$6:$C$205,MATCH($A119,'IMPORT STATS'!$K$6:$K$205,0))="","",INDEX('IMPORT STATS'!$C$6:$C$205,MATCH($A119,'IMPORT STATS'!$K$6:$K$205,0)))))</f>
        <v/>
      </c>
      <c r="F119">
        <f>IF($A119="","",IF(ISNA(MATCH($A119,'IMPORT STATS'!$K$6:$K$205,0)),"",IF(INDEX('IMPORT STATS'!$D$6:$D$205,MATCH($A119,'IMPORT STATS'!$K$6:$K$205,0))="","",INDEX('IMPORT STATS'!$D$6:$D$205,MATCH($A119,'IMPORT STATS'!$K$6:$K$205,0)))))</f>
        <v/>
      </c>
      <c r="G119">
        <f>IF(OR($E119="",$F119=""),"",($E119-$F119)*SETTINGS!$B$17)</f>
        <v/>
      </c>
      <c r="H119">
        <f>IF($A119="","",IF(AND($D119="",$G119=""),"",IF($D119="",$G119,IF($G119="",$D119,SETTINGS!$B$18*$D119+SETTINGS!$B$19*$G119))))</f>
        <v/>
      </c>
    </row>
    <row r="120">
      <c r="A120">
        <f>IF('TEAM RATINGS'!$A120="","",'TEAM RATINGS'!$A120)</f>
        <v/>
      </c>
      <c r="B120">
        <f>IF($A120="","",SUMIFS(CLEAN!$X$6:$X$1005,CLEAN!$P$6:$P$1005,$A120)+SUMIFS(CLEAN!$Z$6:$Z$1005,CLEAN!$N$6:$N$1005,$A120))</f>
        <v/>
      </c>
      <c r="C120">
        <f>IF($A120="","",SUMIFS(CLEAN!$Y$6:$Y$1005,CLEAN!$P$6:$P$1005,$A120)+SUMIFS(CLEAN!$AA$6:$AA$1005,CLEAN!$N$6:$N$1005,$A120))</f>
        <v/>
      </c>
      <c r="D120">
        <f>IF($A120="","",IF($C120&gt;0,$B120/$C120,""))</f>
        <v/>
      </c>
      <c r="E120">
        <f>IF($A120="","",IF(ISNA(MATCH($A120,'IMPORT STATS'!$K$6:$K$205,0)),"",IF(INDEX('IMPORT STATS'!$C$6:$C$205,MATCH($A120,'IMPORT STATS'!$K$6:$K$205,0))="","",INDEX('IMPORT STATS'!$C$6:$C$205,MATCH($A120,'IMPORT STATS'!$K$6:$K$205,0)))))</f>
        <v/>
      </c>
      <c r="F120">
        <f>IF($A120="","",IF(ISNA(MATCH($A120,'IMPORT STATS'!$K$6:$K$205,0)),"",IF(INDEX('IMPORT STATS'!$D$6:$D$205,MATCH($A120,'IMPORT STATS'!$K$6:$K$205,0))="","",INDEX('IMPORT STATS'!$D$6:$D$205,MATCH($A120,'IMPORT STATS'!$K$6:$K$205,0)))))</f>
        <v/>
      </c>
      <c r="G120">
        <f>IF(OR($E120="",$F120=""),"",($E120-$F120)*SETTINGS!$B$17)</f>
        <v/>
      </c>
      <c r="H120">
        <f>IF($A120="","",IF(AND($D120="",$G120=""),"",IF($D120="",$G120,IF($G120="",$D120,SETTINGS!$B$18*$D120+SETTINGS!$B$19*$G120))))</f>
        <v/>
      </c>
    </row>
    <row r="121">
      <c r="A121">
        <f>IF('TEAM RATINGS'!$A121="","",'TEAM RATINGS'!$A121)</f>
        <v/>
      </c>
      <c r="B121">
        <f>IF($A121="","",SUMIFS(CLEAN!$X$6:$X$1005,CLEAN!$P$6:$P$1005,$A121)+SUMIFS(CLEAN!$Z$6:$Z$1005,CLEAN!$N$6:$N$1005,$A121))</f>
        <v/>
      </c>
      <c r="C121">
        <f>IF($A121="","",SUMIFS(CLEAN!$Y$6:$Y$1005,CLEAN!$P$6:$P$1005,$A121)+SUMIFS(CLEAN!$AA$6:$AA$1005,CLEAN!$N$6:$N$1005,$A121))</f>
        <v/>
      </c>
      <c r="D121">
        <f>IF($A121="","",IF($C121&gt;0,$B121/$C121,""))</f>
        <v/>
      </c>
      <c r="E121">
        <f>IF($A121="","",IF(ISNA(MATCH($A121,'IMPORT STATS'!$K$6:$K$205,0)),"",IF(INDEX('IMPORT STATS'!$C$6:$C$205,MATCH($A121,'IMPORT STATS'!$K$6:$K$205,0))="","",INDEX('IMPORT STATS'!$C$6:$C$205,MATCH($A121,'IMPORT STATS'!$K$6:$K$205,0)))))</f>
        <v/>
      </c>
      <c r="F121">
        <f>IF($A121="","",IF(ISNA(MATCH($A121,'IMPORT STATS'!$K$6:$K$205,0)),"",IF(INDEX('IMPORT STATS'!$D$6:$D$205,MATCH($A121,'IMPORT STATS'!$K$6:$K$205,0))="","",INDEX('IMPORT STATS'!$D$6:$D$205,MATCH($A121,'IMPORT STATS'!$K$6:$K$205,0)))))</f>
        <v/>
      </c>
      <c r="G121">
        <f>IF(OR($E121="",$F121=""),"",($E121-$F121)*SETTINGS!$B$17)</f>
        <v/>
      </c>
      <c r="H121">
        <f>IF($A121="","",IF(AND($D121="",$G121=""),"",IF($D121="",$G121,IF($G121="",$D121,SETTINGS!$B$18*$D121+SETTINGS!$B$19*$G121))))</f>
        <v/>
      </c>
    </row>
    <row r="122">
      <c r="A122">
        <f>IF('TEAM RATINGS'!$A122="","",'TEAM RATINGS'!$A122)</f>
        <v/>
      </c>
      <c r="B122">
        <f>IF($A122="","",SUMIFS(CLEAN!$X$6:$X$1005,CLEAN!$P$6:$P$1005,$A122)+SUMIFS(CLEAN!$Z$6:$Z$1005,CLEAN!$N$6:$N$1005,$A122))</f>
        <v/>
      </c>
      <c r="C122">
        <f>IF($A122="","",SUMIFS(CLEAN!$Y$6:$Y$1005,CLEAN!$P$6:$P$1005,$A122)+SUMIFS(CLEAN!$AA$6:$AA$1005,CLEAN!$N$6:$N$1005,$A122))</f>
        <v/>
      </c>
      <c r="D122">
        <f>IF($A122="","",IF($C122&gt;0,$B122/$C122,""))</f>
        <v/>
      </c>
      <c r="E122">
        <f>IF($A122="","",IF(ISNA(MATCH($A122,'IMPORT STATS'!$K$6:$K$205,0)),"",IF(INDEX('IMPORT STATS'!$C$6:$C$205,MATCH($A122,'IMPORT STATS'!$K$6:$K$205,0))="","",INDEX('IMPORT STATS'!$C$6:$C$205,MATCH($A122,'IMPORT STATS'!$K$6:$K$205,0)))))</f>
        <v/>
      </c>
      <c r="F122">
        <f>IF($A122="","",IF(ISNA(MATCH($A122,'IMPORT STATS'!$K$6:$K$205,0)),"",IF(INDEX('IMPORT STATS'!$D$6:$D$205,MATCH($A122,'IMPORT STATS'!$K$6:$K$205,0))="","",INDEX('IMPORT STATS'!$D$6:$D$205,MATCH($A122,'IMPORT STATS'!$K$6:$K$205,0)))))</f>
        <v/>
      </c>
      <c r="G122">
        <f>IF(OR($E122="",$F122=""),"",($E122-$F122)*SETTINGS!$B$17)</f>
        <v/>
      </c>
      <c r="H122">
        <f>IF($A122="","",IF(AND($D122="",$G122=""),"",IF($D122="",$G122,IF($G122="",$D122,SETTINGS!$B$18*$D122+SETTINGS!$B$19*$G122))))</f>
        <v/>
      </c>
    </row>
    <row r="123">
      <c r="A123">
        <f>IF('TEAM RATINGS'!$A123="","",'TEAM RATINGS'!$A123)</f>
        <v/>
      </c>
      <c r="B123">
        <f>IF($A123="","",SUMIFS(CLEAN!$X$6:$X$1005,CLEAN!$P$6:$P$1005,$A123)+SUMIFS(CLEAN!$Z$6:$Z$1005,CLEAN!$N$6:$N$1005,$A123))</f>
        <v/>
      </c>
      <c r="C123">
        <f>IF($A123="","",SUMIFS(CLEAN!$Y$6:$Y$1005,CLEAN!$P$6:$P$1005,$A123)+SUMIFS(CLEAN!$AA$6:$AA$1005,CLEAN!$N$6:$N$1005,$A123))</f>
        <v/>
      </c>
      <c r="D123">
        <f>IF($A123="","",IF($C123&gt;0,$B123/$C123,""))</f>
        <v/>
      </c>
      <c r="E123">
        <f>IF($A123="","",IF(ISNA(MATCH($A123,'IMPORT STATS'!$K$6:$K$205,0)),"",IF(INDEX('IMPORT STATS'!$C$6:$C$205,MATCH($A123,'IMPORT STATS'!$K$6:$K$205,0))="","",INDEX('IMPORT STATS'!$C$6:$C$205,MATCH($A123,'IMPORT STATS'!$K$6:$K$205,0)))))</f>
        <v/>
      </c>
      <c r="F123">
        <f>IF($A123="","",IF(ISNA(MATCH($A123,'IMPORT STATS'!$K$6:$K$205,0)),"",IF(INDEX('IMPORT STATS'!$D$6:$D$205,MATCH($A123,'IMPORT STATS'!$K$6:$K$205,0))="","",INDEX('IMPORT STATS'!$D$6:$D$205,MATCH($A123,'IMPORT STATS'!$K$6:$K$205,0)))))</f>
        <v/>
      </c>
      <c r="G123">
        <f>IF(OR($E123="",$F123=""),"",($E123-$F123)*SETTINGS!$B$17)</f>
        <v/>
      </c>
      <c r="H123">
        <f>IF($A123="","",IF(AND($D123="",$G123=""),"",IF($D123="",$G123,IF($G123="",$D123,SETTINGS!$B$18*$D123+SETTINGS!$B$19*$G123))))</f>
        <v/>
      </c>
    </row>
    <row r="124">
      <c r="A124">
        <f>IF('TEAM RATINGS'!$A124="","",'TEAM RATINGS'!$A124)</f>
        <v/>
      </c>
      <c r="B124">
        <f>IF($A124="","",SUMIFS(CLEAN!$X$6:$X$1005,CLEAN!$P$6:$P$1005,$A124)+SUMIFS(CLEAN!$Z$6:$Z$1005,CLEAN!$N$6:$N$1005,$A124))</f>
        <v/>
      </c>
      <c r="C124">
        <f>IF($A124="","",SUMIFS(CLEAN!$Y$6:$Y$1005,CLEAN!$P$6:$P$1005,$A124)+SUMIFS(CLEAN!$AA$6:$AA$1005,CLEAN!$N$6:$N$1005,$A124))</f>
        <v/>
      </c>
      <c r="D124">
        <f>IF($A124="","",IF($C124&gt;0,$B124/$C124,""))</f>
        <v/>
      </c>
      <c r="E124">
        <f>IF($A124="","",IF(ISNA(MATCH($A124,'IMPORT STATS'!$K$6:$K$205,0)),"",IF(INDEX('IMPORT STATS'!$C$6:$C$205,MATCH($A124,'IMPORT STATS'!$K$6:$K$205,0))="","",INDEX('IMPORT STATS'!$C$6:$C$205,MATCH($A124,'IMPORT STATS'!$K$6:$K$205,0)))))</f>
        <v/>
      </c>
      <c r="F124">
        <f>IF($A124="","",IF(ISNA(MATCH($A124,'IMPORT STATS'!$K$6:$K$205,0)),"",IF(INDEX('IMPORT STATS'!$D$6:$D$205,MATCH($A124,'IMPORT STATS'!$K$6:$K$205,0))="","",INDEX('IMPORT STATS'!$D$6:$D$205,MATCH($A124,'IMPORT STATS'!$K$6:$K$205,0)))))</f>
        <v/>
      </c>
      <c r="G124">
        <f>IF(OR($E124="",$F124=""),"",($E124-$F124)*SETTINGS!$B$17)</f>
        <v/>
      </c>
      <c r="H124">
        <f>IF($A124="","",IF(AND($D124="",$G124=""),"",IF($D124="",$G124,IF($G124="",$D124,SETTINGS!$B$18*$D124+SETTINGS!$B$19*$G124))))</f>
        <v/>
      </c>
    </row>
    <row r="125">
      <c r="A125">
        <f>IF('TEAM RATINGS'!$A125="","",'TEAM RATINGS'!$A125)</f>
        <v/>
      </c>
      <c r="B125">
        <f>IF($A125="","",SUMIFS(CLEAN!$X$6:$X$1005,CLEAN!$P$6:$P$1005,$A125)+SUMIFS(CLEAN!$Z$6:$Z$1005,CLEAN!$N$6:$N$1005,$A125))</f>
        <v/>
      </c>
      <c r="C125">
        <f>IF($A125="","",SUMIFS(CLEAN!$Y$6:$Y$1005,CLEAN!$P$6:$P$1005,$A125)+SUMIFS(CLEAN!$AA$6:$AA$1005,CLEAN!$N$6:$N$1005,$A125))</f>
        <v/>
      </c>
      <c r="D125">
        <f>IF($A125="","",IF($C125&gt;0,$B125/$C125,""))</f>
        <v/>
      </c>
      <c r="E125">
        <f>IF($A125="","",IF(ISNA(MATCH($A125,'IMPORT STATS'!$K$6:$K$205,0)),"",IF(INDEX('IMPORT STATS'!$C$6:$C$205,MATCH($A125,'IMPORT STATS'!$K$6:$K$205,0))="","",INDEX('IMPORT STATS'!$C$6:$C$205,MATCH($A125,'IMPORT STATS'!$K$6:$K$205,0)))))</f>
        <v/>
      </c>
      <c r="F125">
        <f>IF($A125="","",IF(ISNA(MATCH($A125,'IMPORT STATS'!$K$6:$K$205,0)),"",IF(INDEX('IMPORT STATS'!$D$6:$D$205,MATCH($A125,'IMPORT STATS'!$K$6:$K$205,0))="","",INDEX('IMPORT STATS'!$D$6:$D$205,MATCH($A125,'IMPORT STATS'!$K$6:$K$205,0)))))</f>
        <v/>
      </c>
      <c r="G125">
        <f>IF(OR($E125="",$F125=""),"",($E125-$F125)*SETTINGS!$B$17)</f>
        <v/>
      </c>
      <c r="H125">
        <f>IF($A125="","",IF(AND($D125="",$G125=""),"",IF($D125="",$G125,IF($G125="",$D125,SETTINGS!$B$18*$D125+SETTINGS!$B$19*$G125))))</f>
        <v/>
      </c>
    </row>
    <row r="126">
      <c r="A126">
        <f>IF('TEAM RATINGS'!$A126="","",'TEAM RATINGS'!$A126)</f>
        <v/>
      </c>
      <c r="B126">
        <f>IF($A126="","",SUMIFS(CLEAN!$X$6:$X$1005,CLEAN!$P$6:$P$1005,$A126)+SUMIFS(CLEAN!$Z$6:$Z$1005,CLEAN!$N$6:$N$1005,$A126))</f>
        <v/>
      </c>
      <c r="C126">
        <f>IF($A126="","",SUMIFS(CLEAN!$Y$6:$Y$1005,CLEAN!$P$6:$P$1005,$A126)+SUMIFS(CLEAN!$AA$6:$AA$1005,CLEAN!$N$6:$N$1005,$A126))</f>
        <v/>
      </c>
      <c r="D126">
        <f>IF($A126="","",IF($C126&gt;0,$B126/$C126,""))</f>
        <v/>
      </c>
      <c r="E126">
        <f>IF($A126="","",IF(ISNA(MATCH($A126,'IMPORT STATS'!$K$6:$K$205,0)),"",IF(INDEX('IMPORT STATS'!$C$6:$C$205,MATCH($A126,'IMPORT STATS'!$K$6:$K$205,0))="","",INDEX('IMPORT STATS'!$C$6:$C$205,MATCH($A126,'IMPORT STATS'!$K$6:$K$205,0)))))</f>
        <v/>
      </c>
      <c r="F126">
        <f>IF($A126="","",IF(ISNA(MATCH($A126,'IMPORT STATS'!$K$6:$K$205,0)),"",IF(INDEX('IMPORT STATS'!$D$6:$D$205,MATCH($A126,'IMPORT STATS'!$K$6:$K$205,0))="","",INDEX('IMPORT STATS'!$D$6:$D$205,MATCH($A126,'IMPORT STATS'!$K$6:$K$205,0)))))</f>
        <v/>
      </c>
      <c r="G126">
        <f>IF(OR($E126="",$F126=""),"",($E126-$F126)*SETTINGS!$B$17)</f>
        <v/>
      </c>
      <c r="H126">
        <f>IF($A126="","",IF(AND($D126="",$G126=""),"",IF($D126="",$G126,IF($G126="",$D126,SETTINGS!$B$18*$D126+SETTINGS!$B$19*$G126))))</f>
        <v/>
      </c>
    </row>
    <row r="127">
      <c r="A127">
        <f>IF('TEAM RATINGS'!$A127="","",'TEAM RATINGS'!$A127)</f>
        <v/>
      </c>
      <c r="B127">
        <f>IF($A127="","",SUMIFS(CLEAN!$X$6:$X$1005,CLEAN!$P$6:$P$1005,$A127)+SUMIFS(CLEAN!$Z$6:$Z$1005,CLEAN!$N$6:$N$1005,$A127))</f>
        <v/>
      </c>
      <c r="C127">
        <f>IF($A127="","",SUMIFS(CLEAN!$Y$6:$Y$1005,CLEAN!$P$6:$P$1005,$A127)+SUMIFS(CLEAN!$AA$6:$AA$1005,CLEAN!$N$6:$N$1005,$A127))</f>
        <v/>
      </c>
      <c r="D127">
        <f>IF($A127="","",IF($C127&gt;0,$B127/$C127,""))</f>
        <v/>
      </c>
      <c r="E127">
        <f>IF($A127="","",IF(ISNA(MATCH($A127,'IMPORT STATS'!$K$6:$K$205,0)),"",IF(INDEX('IMPORT STATS'!$C$6:$C$205,MATCH($A127,'IMPORT STATS'!$K$6:$K$205,0))="","",INDEX('IMPORT STATS'!$C$6:$C$205,MATCH($A127,'IMPORT STATS'!$K$6:$K$205,0)))))</f>
        <v/>
      </c>
      <c r="F127">
        <f>IF($A127="","",IF(ISNA(MATCH($A127,'IMPORT STATS'!$K$6:$K$205,0)),"",IF(INDEX('IMPORT STATS'!$D$6:$D$205,MATCH($A127,'IMPORT STATS'!$K$6:$K$205,0))="","",INDEX('IMPORT STATS'!$D$6:$D$205,MATCH($A127,'IMPORT STATS'!$K$6:$K$205,0)))))</f>
        <v/>
      </c>
      <c r="G127">
        <f>IF(OR($E127="",$F127=""),"",($E127-$F127)*SETTINGS!$B$17)</f>
        <v/>
      </c>
      <c r="H127">
        <f>IF($A127="","",IF(AND($D127="",$G127=""),"",IF($D127="",$G127,IF($G127="",$D127,SETTINGS!$B$18*$D127+SETTINGS!$B$19*$G127))))</f>
        <v/>
      </c>
    </row>
    <row r="128">
      <c r="A128">
        <f>IF('TEAM RATINGS'!$A128="","",'TEAM RATINGS'!$A128)</f>
        <v/>
      </c>
      <c r="B128">
        <f>IF($A128="","",SUMIFS(CLEAN!$X$6:$X$1005,CLEAN!$P$6:$P$1005,$A128)+SUMIFS(CLEAN!$Z$6:$Z$1005,CLEAN!$N$6:$N$1005,$A128))</f>
        <v/>
      </c>
      <c r="C128">
        <f>IF($A128="","",SUMIFS(CLEAN!$Y$6:$Y$1005,CLEAN!$P$6:$P$1005,$A128)+SUMIFS(CLEAN!$AA$6:$AA$1005,CLEAN!$N$6:$N$1005,$A128))</f>
        <v/>
      </c>
      <c r="D128">
        <f>IF($A128="","",IF($C128&gt;0,$B128/$C128,""))</f>
        <v/>
      </c>
      <c r="E128">
        <f>IF($A128="","",IF(ISNA(MATCH($A128,'IMPORT STATS'!$K$6:$K$205,0)),"",IF(INDEX('IMPORT STATS'!$C$6:$C$205,MATCH($A128,'IMPORT STATS'!$K$6:$K$205,0))="","",INDEX('IMPORT STATS'!$C$6:$C$205,MATCH($A128,'IMPORT STATS'!$K$6:$K$205,0)))))</f>
        <v/>
      </c>
      <c r="F128">
        <f>IF($A128="","",IF(ISNA(MATCH($A128,'IMPORT STATS'!$K$6:$K$205,0)),"",IF(INDEX('IMPORT STATS'!$D$6:$D$205,MATCH($A128,'IMPORT STATS'!$K$6:$K$205,0))="","",INDEX('IMPORT STATS'!$D$6:$D$205,MATCH($A128,'IMPORT STATS'!$K$6:$K$205,0)))))</f>
        <v/>
      </c>
      <c r="G128">
        <f>IF(OR($E128="",$F128=""),"",($E128-$F128)*SETTINGS!$B$17)</f>
        <v/>
      </c>
      <c r="H128">
        <f>IF($A128="","",IF(AND($D128="",$G128=""),"",IF($D128="",$G128,IF($G128="",$D128,SETTINGS!$B$18*$D128+SETTINGS!$B$19*$G128))))</f>
        <v/>
      </c>
    </row>
    <row r="129">
      <c r="A129">
        <f>IF('TEAM RATINGS'!$A129="","",'TEAM RATINGS'!$A129)</f>
        <v/>
      </c>
      <c r="B129">
        <f>IF($A129="","",SUMIFS(CLEAN!$X$6:$X$1005,CLEAN!$P$6:$P$1005,$A129)+SUMIFS(CLEAN!$Z$6:$Z$1005,CLEAN!$N$6:$N$1005,$A129))</f>
        <v/>
      </c>
      <c r="C129">
        <f>IF($A129="","",SUMIFS(CLEAN!$Y$6:$Y$1005,CLEAN!$P$6:$P$1005,$A129)+SUMIFS(CLEAN!$AA$6:$AA$1005,CLEAN!$N$6:$N$1005,$A129))</f>
        <v/>
      </c>
      <c r="D129">
        <f>IF($A129="","",IF($C129&gt;0,$B129/$C129,""))</f>
        <v/>
      </c>
      <c r="E129">
        <f>IF($A129="","",IF(ISNA(MATCH($A129,'IMPORT STATS'!$K$6:$K$205,0)),"",IF(INDEX('IMPORT STATS'!$C$6:$C$205,MATCH($A129,'IMPORT STATS'!$K$6:$K$205,0))="","",INDEX('IMPORT STATS'!$C$6:$C$205,MATCH($A129,'IMPORT STATS'!$K$6:$K$205,0)))))</f>
        <v/>
      </c>
      <c r="F129">
        <f>IF($A129="","",IF(ISNA(MATCH($A129,'IMPORT STATS'!$K$6:$K$205,0)),"",IF(INDEX('IMPORT STATS'!$D$6:$D$205,MATCH($A129,'IMPORT STATS'!$K$6:$K$205,0))="","",INDEX('IMPORT STATS'!$D$6:$D$205,MATCH($A129,'IMPORT STATS'!$K$6:$K$205,0)))))</f>
        <v/>
      </c>
      <c r="G129">
        <f>IF(OR($E129="",$F129=""),"",($E129-$F129)*SETTINGS!$B$17)</f>
        <v/>
      </c>
      <c r="H129">
        <f>IF($A129="","",IF(AND($D129="",$G129=""),"",IF($D129="",$G129,IF($G129="",$D129,SETTINGS!$B$18*$D129+SETTINGS!$B$19*$G129))))</f>
        <v/>
      </c>
    </row>
    <row r="130">
      <c r="A130">
        <f>IF('TEAM RATINGS'!$A130="","",'TEAM RATINGS'!$A130)</f>
        <v/>
      </c>
      <c r="B130">
        <f>IF($A130="","",SUMIFS(CLEAN!$X$6:$X$1005,CLEAN!$P$6:$P$1005,$A130)+SUMIFS(CLEAN!$Z$6:$Z$1005,CLEAN!$N$6:$N$1005,$A130))</f>
        <v/>
      </c>
      <c r="C130">
        <f>IF($A130="","",SUMIFS(CLEAN!$Y$6:$Y$1005,CLEAN!$P$6:$P$1005,$A130)+SUMIFS(CLEAN!$AA$6:$AA$1005,CLEAN!$N$6:$N$1005,$A130))</f>
        <v/>
      </c>
      <c r="D130">
        <f>IF($A130="","",IF($C130&gt;0,$B130/$C130,""))</f>
        <v/>
      </c>
      <c r="E130">
        <f>IF($A130="","",IF(ISNA(MATCH($A130,'IMPORT STATS'!$K$6:$K$205,0)),"",IF(INDEX('IMPORT STATS'!$C$6:$C$205,MATCH($A130,'IMPORT STATS'!$K$6:$K$205,0))="","",INDEX('IMPORT STATS'!$C$6:$C$205,MATCH($A130,'IMPORT STATS'!$K$6:$K$205,0)))))</f>
        <v/>
      </c>
      <c r="F130">
        <f>IF($A130="","",IF(ISNA(MATCH($A130,'IMPORT STATS'!$K$6:$K$205,0)),"",IF(INDEX('IMPORT STATS'!$D$6:$D$205,MATCH($A130,'IMPORT STATS'!$K$6:$K$205,0))="","",INDEX('IMPORT STATS'!$D$6:$D$205,MATCH($A130,'IMPORT STATS'!$K$6:$K$205,0)))))</f>
        <v/>
      </c>
      <c r="G130">
        <f>IF(OR($E130="",$F130=""),"",($E130-$F130)*SETTINGS!$B$17)</f>
        <v/>
      </c>
      <c r="H130">
        <f>IF($A130="","",IF(AND($D130="",$G130=""),"",IF($D130="",$G130,IF($G130="",$D130,SETTINGS!$B$18*$D130+SETTINGS!$B$19*$G130))))</f>
        <v/>
      </c>
    </row>
    <row r="131">
      <c r="A131">
        <f>IF('TEAM RATINGS'!$A131="","",'TEAM RATINGS'!$A131)</f>
        <v/>
      </c>
      <c r="B131">
        <f>IF($A131="","",SUMIFS(CLEAN!$X$6:$X$1005,CLEAN!$P$6:$P$1005,$A131)+SUMIFS(CLEAN!$Z$6:$Z$1005,CLEAN!$N$6:$N$1005,$A131))</f>
        <v/>
      </c>
      <c r="C131">
        <f>IF($A131="","",SUMIFS(CLEAN!$Y$6:$Y$1005,CLEAN!$P$6:$P$1005,$A131)+SUMIFS(CLEAN!$AA$6:$AA$1005,CLEAN!$N$6:$N$1005,$A131))</f>
        <v/>
      </c>
      <c r="D131">
        <f>IF($A131="","",IF($C131&gt;0,$B131/$C131,""))</f>
        <v/>
      </c>
      <c r="E131">
        <f>IF($A131="","",IF(ISNA(MATCH($A131,'IMPORT STATS'!$K$6:$K$205,0)),"",IF(INDEX('IMPORT STATS'!$C$6:$C$205,MATCH($A131,'IMPORT STATS'!$K$6:$K$205,0))="","",INDEX('IMPORT STATS'!$C$6:$C$205,MATCH($A131,'IMPORT STATS'!$K$6:$K$205,0)))))</f>
        <v/>
      </c>
      <c r="F131">
        <f>IF($A131="","",IF(ISNA(MATCH($A131,'IMPORT STATS'!$K$6:$K$205,0)),"",IF(INDEX('IMPORT STATS'!$D$6:$D$205,MATCH($A131,'IMPORT STATS'!$K$6:$K$205,0))="","",INDEX('IMPORT STATS'!$D$6:$D$205,MATCH($A131,'IMPORT STATS'!$K$6:$K$205,0)))))</f>
        <v/>
      </c>
      <c r="G131">
        <f>IF(OR($E131="",$F131=""),"",($E131-$F131)*SETTINGS!$B$17)</f>
        <v/>
      </c>
      <c r="H131">
        <f>IF($A131="","",IF(AND($D131="",$G131=""),"",IF($D131="",$G131,IF($G131="",$D131,SETTINGS!$B$18*$D131+SETTINGS!$B$19*$G131))))</f>
        <v/>
      </c>
    </row>
    <row r="132">
      <c r="A132">
        <f>IF('TEAM RATINGS'!$A132="","",'TEAM RATINGS'!$A132)</f>
        <v/>
      </c>
      <c r="B132">
        <f>IF($A132="","",SUMIFS(CLEAN!$X$6:$X$1005,CLEAN!$P$6:$P$1005,$A132)+SUMIFS(CLEAN!$Z$6:$Z$1005,CLEAN!$N$6:$N$1005,$A132))</f>
        <v/>
      </c>
      <c r="C132">
        <f>IF($A132="","",SUMIFS(CLEAN!$Y$6:$Y$1005,CLEAN!$P$6:$P$1005,$A132)+SUMIFS(CLEAN!$AA$6:$AA$1005,CLEAN!$N$6:$N$1005,$A132))</f>
        <v/>
      </c>
      <c r="D132">
        <f>IF($A132="","",IF($C132&gt;0,$B132/$C132,""))</f>
        <v/>
      </c>
      <c r="E132">
        <f>IF($A132="","",IF(ISNA(MATCH($A132,'IMPORT STATS'!$K$6:$K$205,0)),"",IF(INDEX('IMPORT STATS'!$C$6:$C$205,MATCH($A132,'IMPORT STATS'!$K$6:$K$205,0))="","",INDEX('IMPORT STATS'!$C$6:$C$205,MATCH($A132,'IMPORT STATS'!$K$6:$K$205,0)))))</f>
        <v/>
      </c>
      <c r="F132">
        <f>IF($A132="","",IF(ISNA(MATCH($A132,'IMPORT STATS'!$K$6:$K$205,0)),"",IF(INDEX('IMPORT STATS'!$D$6:$D$205,MATCH($A132,'IMPORT STATS'!$K$6:$K$205,0))="","",INDEX('IMPORT STATS'!$D$6:$D$205,MATCH($A132,'IMPORT STATS'!$K$6:$K$205,0)))))</f>
        <v/>
      </c>
      <c r="G132">
        <f>IF(OR($E132="",$F132=""),"",($E132-$F132)*SETTINGS!$B$17)</f>
        <v/>
      </c>
      <c r="H132">
        <f>IF($A132="","",IF(AND($D132="",$G132=""),"",IF($D132="",$G132,IF($G132="",$D132,SETTINGS!$B$18*$D132+SETTINGS!$B$19*$G132))))</f>
        <v/>
      </c>
    </row>
    <row r="133">
      <c r="A133">
        <f>IF('TEAM RATINGS'!$A133="","",'TEAM RATINGS'!$A133)</f>
        <v/>
      </c>
      <c r="B133">
        <f>IF($A133="","",SUMIFS(CLEAN!$X$6:$X$1005,CLEAN!$P$6:$P$1005,$A133)+SUMIFS(CLEAN!$Z$6:$Z$1005,CLEAN!$N$6:$N$1005,$A133))</f>
        <v/>
      </c>
      <c r="C133">
        <f>IF($A133="","",SUMIFS(CLEAN!$Y$6:$Y$1005,CLEAN!$P$6:$P$1005,$A133)+SUMIFS(CLEAN!$AA$6:$AA$1005,CLEAN!$N$6:$N$1005,$A133))</f>
        <v/>
      </c>
      <c r="D133">
        <f>IF($A133="","",IF($C133&gt;0,$B133/$C133,""))</f>
        <v/>
      </c>
      <c r="E133">
        <f>IF($A133="","",IF(ISNA(MATCH($A133,'IMPORT STATS'!$K$6:$K$205,0)),"",IF(INDEX('IMPORT STATS'!$C$6:$C$205,MATCH($A133,'IMPORT STATS'!$K$6:$K$205,0))="","",INDEX('IMPORT STATS'!$C$6:$C$205,MATCH($A133,'IMPORT STATS'!$K$6:$K$205,0)))))</f>
        <v/>
      </c>
      <c r="F133">
        <f>IF($A133="","",IF(ISNA(MATCH($A133,'IMPORT STATS'!$K$6:$K$205,0)),"",IF(INDEX('IMPORT STATS'!$D$6:$D$205,MATCH($A133,'IMPORT STATS'!$K$6:$K$205,0))="","",INDEX('IMPORT STATS'!$D$6:$D$205,MATCH($A133,'IMPORT STATS'!$K$6:$K$205,0)))))</f>
        <v/>
      </c>
      <c r="G133">
        <f>IF(OR($E133="",$F133=""),"",($E133-$F133)*SETTINGS!$B$17)</f>
        <v/>
      </c>
      <c r="H133">
        <f>IF($A133="","",IF(AND($D133="",$G133=""),"",IF($D133="",$G133,IF($G133="",$D133,SETTINGS!$B$18*$D133+SETTINGS!$B$19*$G133))))</f>
        <v/>
      </c>
    </row>
    <row r="134">
      <c r="A134">
        <f>IF('TEAM RATINGS'!$A134="","",'TEAM RATINGS'!$A134)</f>
        <v/>
      </c>
      <c r="B134">
        <f>IF($A134="","",SUMIFS(CLEAN!$X$6:$X$1005,CLEAN!$P$6:$P$1005,$A134)+SUMIFS(CLEAN!$Z$6:$Z$1005,CLEAN!$N$6:$N$1005,$A134))</f>
        <v/>
      </c>
      <c r="C134">
        <f>IF($A134="","",SUMIFS(CLEAN!$Y$6:$Y$1005,CLEAN!$P$6:$P$1005,$A134)+SUMIFS(CLEAN!$AA$6:$AA$1005,CLEAN!$N$6:$N$1005,$A134))</f>
        <v/>
      </c>
      <c r="D134">
        <f>IF($A134="","",IF($C134&gt;0,$B134/$C134,""))</f>
        <v/>
      </c>
      <c r="E134">
        <f>IF($A134="","",IF(ISNA(MATCH($A134,'IMPORT STATS'!$K$6:$K$205,0)),"",IF(INDEX('IMPORT STATS'!$C$6:$C$205,MATCH($A134,'IMPORT STATS'!$K$6:$K$205,0))="","",INDEX('IMPORT STATS'!$C$6:$C$205,MATCH($A134,'IMPORT STATS'!$K$6:$K$205,0)))))</f>
        <v/>
      </c>
      <c r="F134">
        <f>IF($A134="","",IF(ISNA(MATCH($A134,'IMPORT STATS'!$K$6:$K$205,0)),"",IF(INDEX('IMPORT STATS'!$D$6:$D$205,MATCH($A134,'IMPORT STATS'!$K$6:$K$205,0))="","",INDEX('IMPORT STATS'!$D$6:$D$205,MATCH($A134,'IMPORT STATS'!$K$6:$K$205,0)))))</f>
        <v/>
      </c>
      <c r="G134">
        <f>IF(OR($E134="",$F134=""),"",($E134-$F134)*SETTINGS!$B$17)</f>
        <v/>
      </c>
      <c r="H134">
        <f>IF($A134="","",IF(AND($D134="",$G134=""),"",IF($D134="",$G134,IF($G134="",$D134,SETTINGS!$B$18*$D134+SETTINGS!$B$19*$G134))))</f>
        <v/>
      </c>
    </row>
    <row r="135">
      <c r="A135">
        <f>IF('TEAM RATINGS'!$A135="","",'TEAM RATINGS'!$A135)</f>
        <v/>
      </c>
      <c r="B135">
        <f>IF($A135="","",SUMIFS(CLEAN!$X$6:$X$1005,CLEAN!$P$6:$P$1005,$A135)+SUMIFS(CLEAN!$Z$6:$Z$1005,CLEAN!$N$6:$N$1005,$A135))</f>
        <v/>
      </c>
      <c r="C135">
        <f>IF($A135="","",SUMIFS(CLEAN!$Y$6:$Y$1005,CLEAN!$P$6:$P$1005,$A135)+SUMIFS(CLEAN!$AA$6:$AA$1005,CLEAN!$N$6:$N$1005,$A135))</f>
        <v/>
      </c>
      <c r="D135">
        <f>IF($A135="","",IF($C135&gt;0,$B135/$C135,""))</f>
        <v/>
      </c>
      <c r="E135">
        <f>IF($A135="","",IF(ISNA(MATCH($A135,'IMPORT STATS'!$K$6:$K$205,0)),"",IF(INDEX('IMPORT STATS'!$C$6:$C$205,MATCH($A135,'IMPORT STATS'!$K$6:$K$205,0))="","",INDEX('IMPORT STATS'!$C$6:$C$205,MATCH($A135,'IMPORT STATS'!$K$6:$K$205,0)))))</f>
        <v/>
      </c>
      <c r="F135">
        <f>IF($A135="","",IF(ISNA(MATCH($A135,'IMPORT STATS'!$K$6:$K$205,0)),"",IF(INDEX('IMPORT STATS'!$D$6:$D$205,MATCH($A135,'IMPORT STATS'!$K$6:$K$205,0))="","",INDEX('IMPORT STATS'!$D$6:$D$205,MATCH($A135,'IMPORT STATS'!$K$6:$K$205,0)))))</f>
        <v/>
      </c>
      <c r="G135">
        <f>IF(OR($E135="",$F135=""),"",($E135-$F135)*SETTINGS!$B$17)</f>
        <v/>
      </c>
      <c r="H135">
        <f>IF($A135="","",IF(AND($D135="",$G135=""),"",IF($D135="",$G135,IF($G135="",$D135,SETTINGS!$B$18*$D135+SETTINGS!$B$19*$G135))))</f>
        <v/>
      </c>
    </row>
    <row r="136">
      <c r="A136">
        <f>IF('TEAM RATINGS'!$A136="","",'TEAM RATINGS'!$A136)</f>
        <v/>
      </c>
      <c r="B136">
        <f>IF($A136="","",SUMIFS(CLEAN!$X$6:$X$1005,CLEAN!$P$6:$P$1005,$A136)+SUMIFS(CLEAN!$Z$6:$Z$1005,CLEAN!$N$6:$N$1005,$A136))</f>
        <v/>
      </c>
      <c r="C136">
        <f>IF($A136="","",SUMIFS(CLEAN!$Y$6:$Y$1005,CLEAN!$P$6:$P$1005,$A136)+SUMIFS(CLEAN!$AA$6:$AA$1005,CLEAN!$N$6:$N$1005,$A136))</f>
        <v/>
      </c>
      <c r="D136">
        <f>IF($A136="","",IF($C136&gt;0,$B136/$C136,""))</f>
        <v/>
      </c>
      <c r="E136">
        <f>IF($A136="","",IF(ISNA(MATCH($A136,'IMPORT STATS'!$K$6:$K$205,0)),"",IF(INDEX('IMPORT STATS'!$C$6:$C$205,MATCH($A136,'IMPORT STATS'!$K$6:$K$205,0))="","",INDEX('IMPORT STATS'!$C$6:$C$205,MATCH($A136,'IMPORT STATS'!$K$6:$K$205,0)))))</f>
        <v/>
      </c>
      <c r="F136">
        <f>IF($A136="","",IF(ISNA(MATCH($A136,'IMPORT STATS'!$K$6:$K$205,0)),"",IF(INDEX('IMPORT STATS'!$D$6:$D$205,MATCH($A136,'IMPORT STATS'!$K$6:$K$205,0))="","",INDEX('IMPORT STATS'!$D$6:$D$205,MATCH($A136,'IMPORT STATS'!$K$6:$K$205,0)))))</f>
        <v/>
      </c>
      <c r="G136">
        <f>IF(OR($E136="",$F136=""),"",($E136-$F136)*SETTINGS!$B$17)</f>
        <v/>
      </c>
      <c r="H136">
        <f>IF($A136="","",IF(AND($D136="",$G136=""),"",IF($D136="",$G136,IF($G136="",$D136,SETTINGS!$B$18*$D136+SETTINGS!$B$19*$G136))))</f>
        <v/>
      </c>
    </row>
    <row r="137">
      <c r="A137">
        <f>IF('TEAM RATINGS'!$A137="","",'TEAM RATINGS'!$A137)</f>
        <v/>
      </c>
      <c r="B137">
        <f>IF($A137="","",SUMIFS(CLEAN!$X$6:$X$1005,CLEAN!$P$6:$P$1005,$A137)+SUMIFS(CLEAN!$Z$6:$Z$1005,CLEAN!$N$6:$N$1005,$A137))</f>
        <v/>
      </c>
      <c r="C137">
        <f>IF($A137="","",SUMIFS(CLEAN!$Y$6:$Y$1005,CLEAN!$P$6:$P$1005,$A137)+SUMIFS(CLEAN!$AA$6:$AA$1005,CLEAN!$N$6:$N$1005,$A137))</f>
        <v/>
      </c>
      <c r="D137">
        <f>IF($A137="","",IF($C137&gt;0,$B137/$C137,""))</f>
        <v/>
      </c>
      <c r="E137">
        <f>IF($A137="","",IF(ISNA(MATCH($A137,'IMPORT STATS'!$K$6:$K$205,0)),"",IF(INDEX('IMPORT STATS'!$C$6:$C$205,MATCH($A137,'IMPORT STATS'!$K$6:$K$205,0))="","",INDEX('IMPORT STATS'!$C$6:$C$205,MATCH($A137,'IMPORT STATS'!$K$6:$K$205,0)))))</f>
        <v/>
      </c>
      <c r="F137">
        <f>IF($A137="","",IF(ISNA(MATCH($A137,'IMPORT STATS'!$K$6:$K$205,0)),"",IF(INDEX('IMPORT STATS'!$D$6:$D$205,MATCH($A137,'IMPORT STATS'!$K$6:$K$205,0))="","",INDEX('IMPORT STATS'!$D$6:$D$205,MATCH($A137,'IMPORT STATS'!$K$6:$K$205,0)))))</f>
        <v/>
      </c>
      <c r="G137">
        <f>IF(OR($E137="",$F137=""),"",($E137-$F137)*SETTINGS!$B$17)</f>
        <v/>
      </c>
      <c r="H137">
        <f>IF($A137="","",IF(AND($D137="",$G137=""),"",IF($D137="",$G137,IF($G137="",$D137,SETTINGS!$B$18*$D137+SETTINGS!$B$19*$G137))))</f>
        <v/>
      </c>
    </row>
    <row r="138">
      <c r="A138">
        <f>IF('TEAM RATINGS'!$A138="","",'TEAM RATINGS'!$A138)</f>
        <v/>
      </c>
      <c r="B138">
        <f>IF($A138="","",SUMIFS(CLEAN!$X$6:$X$1005,CLEAN!$P$6:$P$1005,$A138)+SUMIFS(CLEAN!$Z$6:$Z$1005,CLEAN!$N$6:$N$1005,$A138))</f>
        <v/>
      </c>
      <c r="C138">
        <f>IF($A138="","",SUMIFS(CLEAN!$Y$6:$Y$1005,CLEAN!$P$6:$P$1005,$A138)+SUMIFS(CLEAN!$AA$6:$AA$1005,CLEAN!$N$6:$N$1005,$A138))</f>
        <v/>
      </c>
      <c r="D138">
        <f>IF($A138="","",IF($C138&gt;0,$B138/$C138,""))</f>
        <v/>
      </c>
      <c r="E138">
        <f>IF($A138="","",IF(ISNA(MATCH($A138,'IMPORT STATS'!$K$6:$K$205,0)),"",IF(INDEX('IMPORT STATS'!$C$6:$C$205,MATCH($A138,'IMPORT STATS'!$K$6:$K$205,0))="","",INDEX('IMPORT STATS'!$C$6:$C$205,MATCH($A138,'IMPORT STATS'!$K$6:$K$205,0)))))</f>
        <v/>
      </c>
      <c r="F138">
        <f>IF($A138="","",IF(ISNA(MATCH($A138,'IMPORT STATS'!$K$6:$K$205,0)),"",IF(INDEX('IMPORT STATS'!$D$6:$D$205,MATCH($A138,'IMPORT STATS'!$K$6:$K$205,0))="","",INDEX('IMPORT STATS'!$D$6:$D$205,MATCH($A138,'IMPORT STATS'!$K$6:$K$205,0)))))</f>
        <v/>
      </c>
      <c r="G138">
        <f>IF(OR($E138="",$F138=""),"",($E138-$F138)*SETTINGS!$B$17)</f>
        <v/>
      </c>
      <c r="H138">
        <f>IF($A138="","",IF(AND($D138="",$G138=""),"",IF($D138="",$G138,IF($G138="",$D138,SETTINGS!$B$18*$D138+SETTINGS!$B$19*$G138))))</f>
        <v/>
      </c>
    </row>
    <row r="139">
      <c r="A139">
        <f>IF('TEAM RATINGS'!$A139="","",'TEAM RATINGS'!$A139)</f>
        <v/>
      </c>
      <c r="B139">
        <f>IF($A139="","",SUMIFS(CLEAN!$X$6:$X$1005,CLEAN!$P$6:$P$1005,$A139)+SUMIFS(CLEAN!$Z$6:$Z$1005,CLEAN!$N$6:$N$1005,$A139))</f>
        <v/>
      </c>
      <c r="C139">
        <f>IF($A139="","",SUMIFS(CLEAN!$Y$6:$Y$1005,CLEAN!$P$6:$P$1005,$A139)+SUMIFS(CLEAN!$AA$6:$AA$1005,CLEAN!$N$6:$N$1005,$A139))</f>
        <v/>
      </c>
      <c r="D139">
        <f>IF($A139="","",IF($C139&gt;0,$B139/$C139,""))</f>
        <v/>
      </c>
      <c r="E139">
        <f>IF($A139="","",IF(ISNA(MATCH($A139,'IMPORT STATS'!$K$6:$K$205,0)),"",IF(INDEX('IMPORT STATS'!$C$6:$C$205,MATCH($A139,'IMPORT STATS'!$K$6:$K$205,0))="","",INDEX('IMPORT STATS'!$C$6:$C$205,MATCH($A139,'IMPORT STATS'!$K$6:$K$205,0)))))</f>
        <v/>
      </c>
      <c r="F139">
        <f>IF($A139="","",IF(ISNA(MATCH($A139,'IMPORT STATS'!$K$6:$K$205,0)),"",IF(INDEX('IMPORT STATS'!$D$6:$D$205,MATCH($A139,'IMPORT STATS'!$K$6:$K$205,0))="","",INDEX('IMPORT STATS'!$D$6:$D$205,MATCH($A139,'IMPORT STATS'!$K$6:$K$205,0)))))</f>
        <v/>
      </c>
      <c r="G139">
        <f>IF(OR($E139="",$F139=""),"",($E139-$F139)*SETTINGS!$B$17)</f>
        <v/>
      </c>
      <c r="H139">
        <f>IF($A139="","",IF(AND($D139="",$G139=""),"",IF($D139="",$G139,IF($G139="",$D139,SETTINGS!$B$18*$D139+SETTINGS!$B$19*$G139))))</f>
        <v/>
      </c>
    </row>
    <row r="140">
      <c r="A140">
        <f>IF('TEAM RATINGS'!$A140="","",'TEAM RATINGS'!$A140)</f>
        <v/>
      </c>
      <c r="B140">
        <f>IF($A140="","",SUMIFS(CLEAN!$X$6:$X$1005,CLEAN!$P$6:$P$1005,$A140)+SUMIFS(CLEAN!$Z$6:$Z$1005,CLEAN!$N$6:$N$1005,$A140))</f>
        <v/>
      </c>
      <c r="C140">
        <f>IF($A140="","",SUMIFS(CLEAN!$Y$6:$Y$1005,CLEAN!$P$6:$P$1005,$A140)+SUMIFS(CLEAN!$AA$6:$AA$1005,CLEAN!$N$6:$N$1005,$A140))</f>
        <v/>
      </c>
      <c r="D140">
        <f>IF($A140="","",IF($C140&gt;0,$B140/$C140,""))</f>
        <v/>
      </c>
      <c r="E140">
        <f>IF($A140="","",IF(ISNA(MATCH($A140,'IMPORT STATS'!$K$6:$K$205,0)),"",IF(INDEX('IMPORT STATS'!$C$6:$C$205,MATCH($A140,'IMPORT STATS'!$K$6:$K$205,0))="","",INDEX('IMPORT STATS'!$C$6:$C$205,MATCH($A140,'IMPORT STATS'!$K$6:$K$205,0)))))</f>
        <v/>
      </c>
      <c r="F140">
        <f>IF($A140="","",IF(ISNA(MATCH($A140,'IMPORT STATS'!$K$6:$K$205,0)),"",IF(INDEX('IMPORT STATS'!$D$6:$D$205,MATCH($A140,'IMPORT STATS'!$K$6:$K$205,0))="","",INDEX('IMPORT STATS'!$D$6:$D$205,MATCH($A140,'IMPORT STATS'!$K$6:$K$205,0)))))</f>
        <v/>
      </c>
      <c r="G140">
        <f>IF(OR($E140="",$F140=""),"",($E140-$F140)*SETTINGS!$B$17)</f>
        <v/>
      </c>
      <c r="H140">
        <f>IF($A140="","",IF(AND($D140="",$G140=""),"",IF($D140="",$G140,IF($G140="",$D140,SETTINGS!$B$18*$D140+SETTINGS!$B$19*$G140))))</f>
        <v/>
      </c>
    </row>
    <row r="141">
      <c r="A141">
        <f>IF('TEAM RATINGS'!$A141="","",'TEAM RATINGS'!$A141)</f>
        <v/>
      </c>
      <c r="B141">
        <f>IF($A141="","",SUMIFS(CLEAN!$X$6:$X$1005,CLEAN!$P$6:$P$1005,$A141)+SUMIFS(CLEAN!$Z$6:$Z$1005,CLEAN!$N$6:$N$1005,$A141))</f>
        <v/>
      </c>
      <c r="C141">
        <f>IF($A141="","",SUMIFS(CLEAN!$Y$6:$Y$1005,CLEAN!$P$6:$P$1005,$A141)+SUMIFS(CLEAN!$AA$6:$AA$1005,CLEAN!$N$6:$N$1005,$A141))</f>
        <v/>
      </c>
      <c r="D141">
        <f>IF($A141="","",IF($C141&gt;0,$B141/$C141,""))</f>
        <v/>
      </c>
      <c r="E141">
        <f>IF($A141="","",IF(ISNA(MATCH($A141,'IMPORT STATS'!$K$6:$K$205,0)),"",IF(INDEX('IMPORT STATS'!$C$6:$C$205,MATCH($A141,'IMPORT STATS'!$K$6:$K$205,0))="","",INDEX('IMPORT STATS'!$C$6:$C$205,MATCH($A141,'IMPORT STATS'!$K$6:$K$205,0)))))</f>
        <v/>
      </c>
      <c r="F141">
        <f>IF($A141="","",IF(ISNA(MATCH($A141,'IMPORT STATS'!$K$6:$K$205,0)),"",IF(INDEX('IMPORT STATS'!$D$6:$D$205,MATCH($A141,'IMPORT STATS'!$K$6:$K$205,0))="","",INDEX('IMPORT STATS'!$D$6:$D$205,MATCH($A141,'IMPORT STATS'!$K$6:$K$205,0)))))</f>
        <v/>
      </c>
      <c r="G141">
        <f>IF(OR($E141="",$F141=""),"",($E141-$F141)*SETTINGS!$B$17)</f>
        <v/>
      </c>
      <c r="H141">
        <f>IF($A141="","",IF(AND($D141="",$G141=""),"",IF($D141="",$G141,IF($G141="",$D141,SETTINGS!$B$18*$D141+SETTINGS!$B$19*$G141))))</f>
        <v/>
      </c>
    </row>
    <row r="142">
      <c r="A142">
        <f>IF('TEAM RATINGS'!$A142="","",'TEAM RATINGS'!$A142)</f>
        <v/>
      </c>
      <c r="B142">
        <f>IF($A142="","",SUMIFS(CLEAN!$X$6:$X$1005,CLEAN!$P$6:$P$1005,$A142)+SUMIFS(CLEAN!$Z$6:$Z$1005,CLEAN!$N$6:$N$1005,$A142))</f>
        <v/>
      </c>
      <c r="C142">
        <f>IF($A142="","",SUMIFS(CLEAN!$Y$6:$Y$1005,CLEAN!$P$6:$P$1005,$A142)+SUMIFS(CLEAN!$AA$6:$AA$1005,CLEAN!$N$6:$N$1005,$A142))</f>
        <v/>
      </c>
      <c r="D142">
        <f>IF($A142="","",IF($C142&gt;0,$B142/$C142,""))</f>
        <v/>
      </c>
      <c r="E142">
        <f>IF($A142="","",IF(ISNA(MATCH($A142,'IMPORT STATS'!$K$6:$K$205,0)),"",IF(INDEX('IMPORT STATS'!$C$6:$C$205,MATCH($A142,'IMPORT STATS'!$K$6:$K$205,0))="","",INDEX('IMPORT STATS'!$C$6:$C$205,MATCH($A142,'IMPORT STATS'!$K$6:$K$205,0)))))</f>
        <v/>
      </c>
      <c r="F142">
        <f>IF($A142="","",IF(ISNA(MATCH($A142,'IMPORT STATS'!$K$6:$K$205,0)),"",IF(INDEX('IMPORT STATS'!$D$6:$D$205,MATCH($A142,'IMPORT STATS'!$K$6:$K$205,0))="","",INDEX('IMPORT STATS'!$D$6:$D$205,MATCH($A142,'IMPORT STATS'!$K$6:$K$205,0)))))</f>
        <v/>
      </c>
      <c r="G142">
        <f>IF(OR($E142="",$F142=""),"",($E142-$F142)*SETTINGS!$B$17)</f>
        <v/>
      </c>
      <c r="H142">
        <f>IF($A142="","",IF(AND($D142="",$G142=""),"",IF($D142="",$G142,IF($G142="",$D142,SETTINGS!$B$18*$D142+SETTINGS!$B$19*$G142))))</f>
        <v/>
      </c>
    </row>
    <row r="143">
      <c r="A143">
        <f>IF('TEAM RATINGS'!$A143="","",'TEAM RATINGS'!$A143)</f>
        <v/>
      </c>
      <c r="B143">
        <f>IF($A143="","",SUMIFS(CLEAN!$X$6:$X$1005,CLEAN!$P$6:$P$1005,$A143)+SUMIFS(CLEAN!$Z$6:$Z$1005,CLEAN!$N$6:$N$1005,$A143))</f>
        <v/>
      </c>
      <c r="C143">
        <f>IF($A143="","",SUMIFS(CLEAN!$Y$6:$Y$1005,CLEAN!$P$6:$P$1005,$A143)+SUMIFS(CLEAN!$AA$6:$AA$1005,CLEAN!$N$6:$N$1005,$A143))</f>
        <v/>
      </c>
      <c r="D143">
        <f>IF($A143="","",IF($C143&gt;0,$B143/$C143,""))</f>
        <v/>
      </c>
      <c r="E143">
        <f>IF($A143="","",IF(ISNA(MATCH($A143,'IMPORT STATS'!$K$6:$K$205,0)),"",IF(INDEX('IMPORT STATS'!$C$6:$C$205,MATCH($A143,'IMPORT STATS'!$K$6:$K$205,0))="","",INDEX('IMPORT STATS'!$C$6:$C$205,MATCH($A143,'IMPORT STATS'!$K$6:$K$205,0)))))</f>
        <v/>
      </c>
      <c r="F143">
        <f>IF($A143="","",IF(ISNA(MATCH($A143,'IMPORT STATS'!$K$6:$K$205,0)),"",IF(INDEX('IMPORT STATS'!$D$6:$D$205,MATCH($A143,'IMPORT STATS'!$K$6:$K$205,0))="","",INDEX('IMPORT STATS'!$D$6:$D$205,MATCH($A143,'IMPORT STATS'!$K$6:$K$205,0)))))</f>
        <v/>
      </c>
      <c r="G143">
        <f>IF(OR($E143="",$F143=""),"",($E143-$F143)*SETTINGS!$B$17)</f>
        <v/>
      </c>
      <c r="H143">
        <f>IF($A143="","",IF(AND($D143="",$G143=""),"",IF($D143="",$G143,IF($G143="",$D143,SETTINGS!$B$18*$D143+SETTINGS!$B$19*$G143))))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J6:K15"/>
  <sheetViews>
    <sheetView workbookViewId="0">
      <selection activeCell="A1" sqref="A1"/>
    </sheetView>
  </sheetViews>
  <sheetFormatPr baseColWidth="8" defaultRowHeight="15"/>
  <sheetData>
    <row r="6">
      <c r="J6">
        <f>IF($A6="","",IF(AND($H6="Y",OR($G6="",SETTINGS!$B$5="",$G6&gt;=SETTINGS!$B$5),$K6=""),1,0))</f>
        <v/>
      </c>
      <c r="K6">
        <f>IF($A6="","",IF($D6="","REASON MISSING; ","")&amp;IF(NOT(ISNUMBER($C6)),"VALUE NOT NUMERIC; ","")&amp;IF(ISNUMBER($C6),IF(AND(ABS($C6)&gt;4,$A6&lt;&gt;"MARGIN OVERRIDE",$A6&lt;&gt;"TOTAL OVERRIDE"),"LARGE ADJ (&gt;4); ",""),""))</f>
        <v/>
      </c>
    </row>
    <row r="7">
      <c r="J7">
        <f>IF($A7="","",IF(AND($H7="Y",OR($G7="",SETTINGS!$B$5="",$G7&gt;=SETTINGS!$B$5),$K7=""),1,0))</f>
        <v/>
      </c>
      <c r="K7">
        <f>IF($A7="","",IF($D7="","REASON MISSING; ","")&amp;IF(NOT(ISNUMBER($C7)),"VALUE NOT NUMERIC; ","")&amp;IF(ISNUMBER($C7),IF(AND(ABS($C7)&gt;4,$A7&lt;&gt;"MARGIN OVERRIDE",$A7&lt;&gt;"TOTAL OVERRIDE"),"LARGE ADJ (&gt;4); ",""),""))</f>
        <v/>
      </c>
    </row>
    <row r="8">
      <c r="J8">
        <f>IF($A8="","",IF(AND($H8="Y",OR($G8="",SETTINGS!$B$5="",$G8&gt;=SETTINGS!$B$5),$K8=""),1,0))</f>
        <v/>
      </c>
      <c r="K8">
        <f>IF($A8="","",IF($D8="","REASON MISSING; ","")&amp;IF(NOT(ISNUMBER($C8)),"VALUE NOT NUMERIC; ","")&amp;IF(ISNUMBER($C8),IF(AND(ABS($C8)&gt;4,$A8&lt;&gt;"MARGIN OVERRIDE",$A8&lt;&gt;"TOTAL OVERRIDE"),"LARGE ADJ (&gt;4); ",""),""))</f>
        <v/>
      </c>
    </row>
    <row r="9">
      <c r="J9">
        <f>IF($A9="","",IF(AND($H9="Y",OR($G9="",SETTINGS!$B$5="",$G9&gt;=SETTINGS!$B$5),$K9=""),1,0))</f>
        <v/>
      </c>
      <c r="K9">
        <f>IF($A9="","",IF($D9="","REASON MISSING; ","")&amp;IF(NOT(ISNUMBER($C9)),"VALUE NOT NUMERIC; ","")&amp;IF(ISNUMBER($C9),IF(AND(ABS($C9)&gt;4,$A9&lt;&gt;"MARGIN OVERRIDE",$A9&lt;&gt;"TOTAL OVERRIDE"),"LARGE ADJ (&gt;4); ",""),""))</f>
        <v/>
      </c>
    </row>
    <row r="10">
      <c r="J10">
        <f>IF($A10="","",IF(AND($H10="Y",OR($G10="",SETTINGS!$B$5="",$G10&gt;=SETTINGS!$B$5),$K10=""),1,0))</f>
        <v/>
      </c>
      <c r="K10">
        <f>IF($A10="","",IF($D10="","REASON MISSING; ","")&amp;IF(NOT(ISNUMBER($C10)),"VALUE NOT NUMERIC; ","")&amp;IF(ISNUMBER($C10),IF(AND(ABS($C10)&gt;4,$A10&lt;&gt;"MARGIN OVERRIDE",$A10&lt;&gt;"TOTAL OVERRIDE"),"LARGE ADJ (&gt;4); ",""),""))</f>
        <v/>
      </c>
    </row>
    <row r="11">
      <c r="J11">
        <f>IF($A11="","",IF(AND($H11="Y",OR($G11="",SETTINGS!$B$5="",$G11&gt;=SETTINGS!$B$5),$K11=""),1,0))</f>
        <v/>
      </c>
      <c r="K11">
        <f>IF($A11="","",IF($D11="","REASON MISSING; ","")&amp;IF(NOT(ISNUMBER($C11)),"VALUE NOT NUMERIC; ","")&amp;IF(ISNUMBER($C11),IF(AND(ABS($C11)&gt;4,$A11&lt;&gt;"MARGIN OVERRIDE",$A11&lt;&gt;"TOTAL OVERRIDE"),"LARGE ADJ (&gt;4); ",""),""))</f>
        <v/>
      </c>
    </row>
    <row r="12">
      <c r="J12">
        <f>IF($A12="","",IF(AND($H12="Y",OR($G12="",SETTINGS!$B$5="",$G12&gt;=SETTINGS!$B$5),$K12=""),1,0))</f>
        <v/>
      </c>
      <c r="K12">
        <f>IF($A12="","",IF($D12="","REASON MISSING; ","")&amp;IF(NOT(ISNUMBER($C12)),"VALUE NOT NUMERIC; ","")&amp;IF(ISNUMBER($C12),IF(AND(ABS($C12)&gt;4,$A12&lt;&gt;"MARGIN OVERRIDE",$A12&lt;&gt;"TOTAL OVERRIDE"),"LARGE ADJ (&gt;4); ",""),""))</f>
        <v/>
      </c>
    </row>
    <row r="13">
      <c r="J13">
        <f>IF($A13="","",IF(AND($H13="Y",OR($G13="",SETTINGS!$B$5="",$G13&gt;=SETTINGS!$B$5),$K13=""),1,0))</f>
        <v/>
      </c>
      <c r="K13">
        <f>IF($A13="","",IF($D13="","REASON MISSING; ","")&amp;IF(NOT(ISNUMBER($C13)),"VALUE NOT NUMERIC; ","")&amp;IF(ISNUMBER($C13),IF(AND(ABS($C13)&gt;4,$A13&lt;&gt;"MARGIN OVERRIDE",$A13&lt;&gt;"TOTAL OVERRIDE"),"LARGE ADJ (&gt;4); ",""),""))</f>
        <v/>
      </c>
    </row>
    <row r="14">
      <c r="J14">
        <f>IF($A14="","",IF(AND($H14="Y",OR($G14="",SETTINGS!$B$5="",$G14&gt;=SETTINGS!$B$5),$K14=""),1,0))</f>
        <v/>
      </c>
      <c r="K14">
        <f>IF($A14="","",IF($D14="","REASON MISSING; ","")&amp;IF(NOT(ISNUMBER($C14)),"VALUE NOT NUMERIC; ","")&amp;IF(ISNUMBER($C14),IF(AND(ABS($C14)&gt;4,$A14&lt;&gt;"MARGIN OVERRIDE",$A14&lt;&gt;"TOTAL OVERRIDE"),"LARGE ADJ (&gt;4); ",""),""))</f>
        <v/>
      </c>
    </row>
    <row r="15">
      <c r="J15">
        <f>IF($A15="","",IF(AND($H15="Y",OR($G15="",SETTINGS!$B$5="",$G15&gt;=SETTINGS!$B$5),$K15=""),1,0))</f>
        <v/>
      </c>
      <c r="K15">
        <f>IF($A15="","",IF($D15="","REASON MISSING; ","")&amp;IF(NOT(ISNUMBER($C15)),"VALUE NOT NUMERIC; ","")&amp;IF(ISNUMBER($C15),IF(AND(ABS($C15)&gt;4,$A15&lt;&gt;"MARGIN OVERRIDE",$A15&lt;&gt;"TOTAL OVERRIDE"),"LARGE ADJ (&gt;4); ",""),""))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6:B21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Games loaded</t>
        </is>
      </c>
      <c r="B6">
        <f>COUNT(ENGINE!$A$6:$A$1005)+COUNTIF(ENGINE!$A$6:$A$1005,"?*")</f>
        <v/>
      </c>
    </row>
    <row r="7">
      <c r="A7" t="inlineStr">
        <is>
          <t>BLOCKED (hard)</t>
        </is>
      </c>
      <c r="B7">
        <f>COUNTIF(ENGINE!$AI$6:$AI$1005,"BLOCKED")</f>
        <v/>
      </c>
    </row>
    <row r="8">
      <c r="A8" t="inlineStr">
        <is>
          <t>PENDING LINE</t>
        </is>
      </c>
      <c r="B8">
        <f>COUNTIF(ENGINE!$AI$6:$AI$1005,"PENDING LINE")</f>
        <v/>
      </c>
    </row>
    <row r="9">
      <c r="A9" t="inlineStr">
        <is>
          <t>STALE LINE</t>
        </is>
      </c>
      <c r="B9">
        <f>COUNTIF(ENGINE!$AI$6:$AI$1005,"STALE LINE")</f>
        <v/>
      </c>
    </row>
    <row r="10">
      <c r="A10" t="inlineStr">
        <is>
          <t>QB UNCERTAIN</t>
        </is>
      </c>
      <c r="B10">
        <f>COUNTIF(ENGINE!$AI$6:$AI$1005,"QB UNCERTAIN")</f>
        <v/>
      </c>
    </row>
    <row r="11">
      <c r="A11" t="inlineStr">
        <is>
          <t>TRANSITION UNCERTAIN</t>
        </is>
      </c>
      <c r="B11">
        <f>COUNTIF(ENGINE!$AI$6:$AI$1005,"TRANSITION UNCERTAIN")</f>
        <v/>
      </c>
    </row>
    <row r="12">
      <c r="A12" t="inlineStr">
        <is>
          <t>DATA INCOMPLETE</t>
        </is>
      </c>
      <c r="B12">
        <f>COUNTIF(ENGINE!$AI$6:$AI$1005,"DATA INCOMPLETE")</f>
        <v/>
      </c>
    </row>
    <row r="13">
      <c r="A13" t="inlineStr">
        <is>
          <t>READY</t>
        </is>
      </c>
      <c r="B13">
        <f>COUNTIF(ENGINE!$AI$6:$AI$1005,"READY")</f>
        <v/>
      </c>
    </row>
    <row r="14">
      <c r="A14" t="inlineStr">
        <is>
          <t>Market-line rows with flags</t>
        </is>
      </c>
      <c r="B14">
        <f>SUMPRODUCT(--('MARKET LINES'!$Q$6:$Q$1005&lt;&gt;""))</f>
        <v/>
      </c>
    </row>
    <row r="15">
      <c r="A15" t="inlineStr">
        <is>
          <t>Adjustment rows with flags</t>
        </is>
      </c>
      <c r="B15">
        <f>SUMPRODUCT(--(ADJUSTMENTS!$K$6:$K$255&lt;&gt;""))</f>
        <v/>
      </c>
    </row>
    <row r="16">
      <c r="A16" t="inlineStr">
        <is>
          <t>Stats rows UNMATCHED</t>
        </is>
      </c>
      <c r="B16">
        <f>COUNTIF('IMPORT STATS'!$K$6:$K$205,"UNMATCHED")</f>
        <v/>
      </c>
    </row>
    <row r="17">
      <c r="A17" t="inlineStr">
        <is>
          <t>Duplicate GameIDs in schedule</t>
        </is>
      </c>
      <c r="B17">
        <f>SUMPRODUCT(--(CLEAN!$A$6:$A$1005&lt;&gt;""),--(CLEAN!$M$6:$M$1005&gt;1))</f>
        <v/>
      </c>
    </row>
    <row r="18">
      <c r="A18" t="inlineStr">
        <is>
          <t>Import rows failing team resolution (BLOCK)</t>
        </is>
      </c>
      <c r="B18">
        <f>SUMPRODUCT(--(CLEAN!$O$6:$O$1005="BLOCK"))+SUMPRODUCT(--(CLEAN!$Q$6:$Q$1005="BLOCK"))</f>
        <v/>
      </c>
    </row>
    <row r="19">
      <c r="A19" t="inlineStr">
        <is>
          <t>Teams SINGLE-SOURCE / LOW CONFIDENCE</t>
        </is>
      </c>
      <c r="B19">
        <f>COUNTIF(PRESEASON!$AB$6:$AB$143,"SINGLE-SOURCE / LOW CONFIDENCE")</f>
        <v/>
      </c>
    </row>
    <row r="20">
      <c r="A20" t="inlineStr">
        <is>
          <t>AUDIT invariants failing (workbook-level)</t>
        </is>
      </c>
      <c r="B20">
        <f>AUDIT!$E$1</f>
        <v/>
      </c>
    </row>
    <row r="21">
      <c r="A21" t="inlineStr">
        <is>
          <t>FCS — NO PLAY (reference only, not a data-quality issue)</t>
        </is>
      </c>
      <c r="B21">
        <f>COUNTIF(ENGINE!$AI$6:$AI$1005,"FCS — NO PLAY")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C46"/>
  <sheetViews>
    <sheetView workbookViewId="0">
      <selection activeCell="A1" sqref="A1"/>
    </sheetView>
  </sheetViews>
  <sheetFormatPr baseColWidth="8" defaultRowHeight="15"/>
  <sheetData>
    <row r="3">
      <c r="A3" t="inlineStr">
        <is>
          <t>Season</t>
        </is>
      </c>
      <c r="B3" t="n">
        <v>2026</v>
      </c>
      <c r="C3" t="inlineStr">
        <is>
          <t>Must match QB VALUES 'Reviewed for season'</t>
        </is>
      </c>
    </row>
    <row r="4">
      <c r="A4" t="inlineStr">
        <is>
          <t>Current week</t>
        </is>
      </c>
      <c r="B4" t="n">
        <v>1</v>
      </c>
      <c r="C4" t="inlineStr">
        <is>
          <t>Set weekly (Step 1)</t>
        </is>
      </c>
    </row>
    <row r="5">
      <c r="A5" t="inlineStr">
        <is>
          <t>As-of date</t>
        </is>
      </c>
      <c r="B5" s="2" t="n">
        <v>46269</v>
      </c>
      <c r="C5" t="inlineStr">
        <is>
          <t>Set weekly (Step 1) — used for staleness and adjustment expiry</t>
        </is>
      </c>
    </row>
    <row r="6">
      <c r="A6" t="inlineStr">
        <is>
          <t>Default home-field advantage (pts)</t>
        </is>
      </c>
      <c r="B6" t="n">
        <v>2.5</v>
      </c>
      <c r="C6" t="inlineStr">
        <is>
          <t>Team overrides live on TEAM RATINGS</t>
        </is>
      </c>
    </row>
    <row r="7">
      <c r="A7" t="inlineStr">
        <is>
          <t>Neutral-site HFA (pts)</t>
        </is>
      </c>
      <c r="B7" t="n">
        <v>0</v>
      </c>
      <c r="C7" t="inlineStr">
        <is>
          <t>Locked at 0</t>
        </is>
      </c>
    </row>
    <row r="8">
      <c r="A8" t="inlineStr">
        <is>
          <t>LEAN threshold (abs edge)</t>
        </is>
      </c>
      <c r="B8" t="n">
        <v>1</v>
      </c>
      <c r="C8" t="inlineStr">
        <is>
          <t>Frozen after build</t>
        </is>
      </c>
    </row>
    <row r="9">
      <c r="A9" t="inlineStr">
        <is>
          <t>INVESTIGATE threshold (abs edge)</t>
        </is>
      </c>
      <c r="B9" t="n">
        <v>1.5</v>
      </c>
      <c r="C9" t="inlineStr">
        <is>
          <t>Frozen after build</t>
        </is>
      </c>
    </row>
    <row r="10">
      <c r="A10" t="inlineStr">
        <is>
          <t>BET threshold (abs edge)</t>
        </is>
      </c>
      <c r="B10" t="n">
        <v>3</v>
      </c>
      <c r="C10" t="inlineStr">
        <is>
          <t>Frozen after build</t>
        </is>
      </c>
    </row>
    <row r="11">
      <c r="A11" t="inlineStr">
        <is>
          <t>BET labels toggle (Y/N)</t>
        </is>
      </c>
      <c r="B11" t="inlineStr">
        <is>
          <t>N</t>
        </is>
      </c>
      <c r="C11" t="inlineStr">
        <is>
          <t>DEFAULT OFF. 3.0+ edges stay INVESTIGATE while OFF</t>
        </is>
      </c>
    </row>
    <row r="12">
      <c r="A12" t="inlineStr">
        <is>
          <t>Weekly rating movement cap (pts)</t>
        </is>
      </c>
      <c r="B12" t="n">
        <v>2.5</v>
      </c>
      <c r="C12" t="inlineStr">
        <is>
          <t>Applies to all teams incl. reclassifiers</t>
        </is>
      </c>
    </row>
    <row r="13">
      <c r="A13" t="inlineStr">
        <is>
          <t>Stale market line after (days)</t>
        </is>
      </c>
      <c r="B13" t="n">
        <v>5</v>
      </c>
      <c r="C13" t="inlineStr">
        <is>
          <t>vs As-of date</t>
        </is>
      </c>
    </row>
    <row r="14">
      <c r="A14" t="inlineStr">
        <is>
          <t>Per-game margin cap for rating engine (pts)</t>
        </is>
      </c>
      <c r="B14" t="n">
        <v>28</v>
      </c>
      <c r="C14" t="inlineStr">
        <is>
          <t>Blowout distortion control</t>
        </is>
      </c>
    </row>
    <row r="15">
      <c r="A15" t="inlineStr">
        <is>
          <t>TTW prior regression — standard</t>
        </is>
      </c>
      <c r="B15" t="n">
        <v>0.35</v>
      </c>
      <c r="C15" t="inlineStr">
        <is>
          <t>Toward FBS mean (0)</t>
        </is>
      </c>
    </row>
    <row r="16">
      <c r="A16" t="inlineStr">
        <is>
          <t>TTW prior regression — reclassifier (positive ratings only)</t>
        </is>
      </c>
      <c r="B16" t="n">
        <v>0.55</v>
      </c>
      <c r="C16" t="inlineStr">
        <is>
          <t>NO AUTOMATIC RECLASSIFIER UPGRADE guard: negative ratings are NOT regressed</t>
        </is>
      </c>
    </row>
    <row r="17">
      <c r="A17" t="inlineStr">
        <is>
          <t>EPA-to-points scale (pts per EPA/play)</t>
        </is>
      </c>
      <c r="B17" t="n">
        <v>65</v>
      </c>
      <c r="C17" t="inlineStr">
        <is>
          <t>Placeholder — calibrate in Phase 7 backtest</t>
        </is>
      </c>
    </row>
    <row r="18">
      <c r="A18" t="inlineStr">
        <is>
          <t>Current-rating weight: adjusted margin</t>
        </is>
      </c>
      <c r="B18" t="n">
        <v>0.6</v>
      </c>
    </row>
    <row r="19">
      <c r="A19" t="inlineStr">
        <is>
          <t>Current-rating weight: EPA composite</t>
        </is>
      </c>
      <c r="B19" t="n">
        <v>0.4</v>
      </c>
    </row>
    <row r="20">
      <c r="A20" t="inlineStr">
        <is>
          <t>Recency decay per week (1.00 = off)</t>
        </is>
      </c>
      <c r="B20" t="n">
        <v>1</v>
      </c>
      <c r="C20" t="inlineStr">
        <is>
          <t>Applied to game performances</t>
        </is>
      </c>
    </row>
    <row r="21">
      <c r="A21" t="inlineStr">
        <is>
          <t>FCS-opponent effective-game weight</t>
        </is>
      </c>
      <c r="B21" t="n">
        <v>0.5</v>
      </c>
      <c r="C21" t="inlineStr">
        <is>
          <t>Per approved fade amendment. NO LONGER REFERENCED as of v0.5.1: FBS-vs-FCS games are fully excluded from effective-game calculations (CLEAN!AB/AC), not partially weighted. Constant retained, unused, for historical/audit reference.</t>
        </is>
      </c>
    </row>
    <row r="22">
      <c r="A22" t="inlineStr">
        <is>
          <t>League average total (pts)</t>
        </is>
      </c>
      <c r="C22" t="inlineStr">
        <is>
          <t>BLOCKED/DEFERRED — totals constants stay blank until verified in-season EPA data is available; totals show NOT AVAILABLE while blank</t>
        </is>
      </c>
    </row>
    <row r="23">
      <c r="A23" t="inlineStr">
        <is>
          <t>Total EPA scale</t>
        </is>
      </c>
      <c r="C23" t="inlineStr">
        <is>
          <t>BLOCKED/DEFERRED — stays blank until verified in-season EPA data is available</t>
        </is>
      </c>
    </row>
    <row r="24">
      <c r="A24" t="inlineStr">
        <is>
          <t>Small-sample warning if min effective games &lt;</t>
        </is>
      </c>
      <c r="B24" t="n">
        <v>3</v>
      </c>
      <c r="C24" t="inlineStr">
        <is>
          <t>Warning only; blend uses effective games</t>
        </is>
      </c>
    </row>
    <row r="25">
      <c r="A25" t="inlineStr">
        <is>
          <t>Reclassifier BET-block review minimum FBS games</t>
        </is>
      </c>
      <c r="B25" t="n">
        <v>4</v>
      </c>
      <c r="C25" t="inlineStr">
        <is>
          <t>Manual review still required — never auto-clears</t>
        </is>
      </c>
    </row>
    <row r="27">
      <c r="A27" t="inlineStr">
        <is>
          <t>PRESEASON SOURCE WEIGHTS (renormalize automatically over available sources)</t>
        </is>
      </c>
    </row>
    <row r="28">
      <c r="A28" t="inlineStr">
        <is>
          <t>SP+ 2026 preseason</t>
        </is>
      </c>
      <c r="B28" t="n">
        <v>0.3</v>
      </c>
    </row>
    <row r="29">
      <c r="A29" t="inlineStr">
        <is>
          <t>FPI 2026 preseason</t>
        </is>
      </c>
      <c r="B29" t="n">
        <v>0.25</v>
      </c>
    </row>
    <row r="30">
      <c r="A30" t="inlineStr">
        <is>
          <t>TTW independent 2025 regressed prior</t>
        </is>
      </c>
      <c r="B30" t="n">
        <v>0.2</v>
      </c>
    </row>
    <row r="31">
      <c r="A31" t="inlineStr">
        <is>
          <t>TeamRankings predictive</t>
        </is>
      </c>
      <c r="B31" t="n">
        <v>0.15</v>
      </c>
    </row>
    <row r="32">
      <c r="A32" t="inlineStr">
        <is>
          <t>VSiN (user-supplied)</t>
        </is>
      </c>
      <c r="B32" t="n">
        <v>0.1</v>
      </c>
    </row>
    <row r="36">
      <c r="A36" t="inlineStr">
        <is>
          <t>Effective games</t>
        </is>
      </c>
      <c r="B36" t="inlineStr">
        <is>
          <t>EG</t>
        </is>
      </c>
      <c r="C36" t="inlineStr">
        <is>
          <t>Prior weight</t>
        </is>
      </c>
    </row>
    <row r="37">
      <c r="B37" t="n">
        <v>0</v>
      </c>
      <c r="C37" t="n">
        <v>1</v>
      </c>
    </row>
    <row r="38">
      <c r="B38" t="n">
        <v>1</v>
      </c>
      <c r="C38" t="n">
        <v>0.8</v>
      </c>
    </row>
    <row r="39">
      <c r="B39" t="n">
        <v>2</v>
      </c>
      <c r="C39" t="n">
        <v>0.65</v>
      </c>
    </row>
    <row r="40">
      <c r="B40" t="n">
        <v>3</v>
      </c>
      <c r="C40" t="n">
        <v>0.5</v>
      </c>
    </row>
    <row r="41">
      <c r="B41" t="n">
        <v>4</v>
      </c>
      <c r="C41" t="n">
        <v>0.4</v>
      </c>
    </row>
    <row r="42">
      <c r="B42" t="n">
        <v>5</v>
      </c>
      <c r="C42" t="n">
        <v>0.3</v>
      </c>
    </row>
    <row r="43">
      <c r="B43" t="n">
        <v>6</v>
      </c>
      <c r="C43" t="n">
        <v>0.225</v>
      </c>
    </row>
    <row r="44">
      <c r="B44" t="n">
        <v>7</v>
      </c>
      <c r="C44" t="n">
        <v>0.175</v>
      </c>
    </row>
    <row r="45">
      <c r="B45" t="n">
        <v>8</v>
      </c>
      <c r="C45" t="n">
        <v>0.125</v>
      </c>
    </row>
    <row r="46">
      <c r="B46" t="n">
        <v>9</v>
      </c>
      <c r="C46" t="n">
        <v>0.1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E1:E1"/>
  <sheetViews>
    <sheetView workbookViewId="0">
      <selection activeCell="A1" sqref="A1"/>
    </sheetView>
  </sheetViews>
  <sheetFormatPr baseColWidth="8" defaultRowHeight="15"/>
  <sheetData>
    <row r="1">
      <c r="E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2026-07-21T12:12:36Z</dcterms:created>
  <dcterms:modified xsi:type="dcterms:W3CDTF">2026-07-21T12:20:58Z</dcterms:modified>
</cp:coreProperties>
</file>